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autoCompressPictures="0"/>
  <xr:revisionPtr revIDLastSave="0" documentId="8_{9E4BD350-EB49-4BE3-A7C9-44E6E30D1D06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shboard" sheetId="1" r:id="rId1"/>
    <sheet name="Product Master" sheetId="2" r:id="rId2"/>
    <sheet name="Size &amp; SKU" sheetId="4" r:id="rId3"/>
    <sheet name="Image Tracker" sheetId="5" r:id="rId4"/>
    <sheet name="Colour Matrix" sheetId="3" r:id="rId5"/>
    <sheet name="Developer Handover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4" l="1"/>
  <c r="J161" i="4" s="1"/>
  <c r="E161" i="4"/>
  <c r="H160" i="4"/>
  <c r="J160" i="4" s="1"/>
  <c r="E160" i="4"/>
  <c r="H159" i="4"/>
  <c r="J159" i="4" s="1"/>
  <c r="E159" i="4"/>
  <c r="H158" i="4"/>
  <c r="J158" i="4" s="1"/>
  <c r="E158" i="4"/>
  <c r="H157" i="4"/>
  <c r="J157" i="4" s="1"/>
  <c r="E157" i="4"/>
  <c r="H156" i="4"/>
  <c r="J156" i="4" s="1"/>
  <c r="E156" i="4"/>
  <c r="H155" i="4"/>
  <c r="J155" i="4" s="1"/>
  <c r="E155" i="4"/>
  <c r="H154" i="4"/>
  <c r="J154" i="4" s="1"/>
  <c r="E154" i="4"/>
  <c r="H153" i="4"/>
  <c r="J153" i="4" s="1"/>
  <c r="E153" i="4"/>
  <c r="H152" i="4"/>
  <c r="J152" i="4" s="1"/>
  <c r="E152" i="4"/>
  <c r="H151" i="4"/>
  <c r="J151" i="4" s="1"/>
  <c r="E151" i="4"/>
  <c r="H150" i="4"/>
  <c r="J150" i="4" s="1"/>
  <c r="E150" i="4"/>
  <c r="H149" i="4"/>
  <c r="J149" i="4" s="1"/>
  <c r="E149" i="4"/>
  <c r="H148" i="4"/>
  <c r="J148" i="4" s="1"/>
  <c r="E148" i="4"/>
  <c r="H147" i="4"/>
  <c r="J147" i="4" s="1"/>
  <c r="E147" i="4"/>
  <c r="H146" i="4"/>
  <c r="J146" i="4" s="1"/>
  <c r="E146" i="4"/>
  <c r="H145" i="4"/>
  <c r="J145" i="4" s="1"/>
  <c r="E145" i="4"/>
  <c r="H144" i="4"/>
  <c r="J144" i="4" s="1"/>
  <c r="E144" i="4"/>
  <c r="H143" i="4"/>
  <c r="J143" i="4" s="1"/>
  <c r="E143" i="4"/>
  <c r="H142" i="4"/>
  <c r="J142" i="4" s="1"/>
  <c r="E142" i="4"/>
  <c r="H141" i="4"/>
  <c r="J141" i="4" s="1"/>
  <c r="E141" i="4"/>
  <c r="H140" i="4"/>
  <c r="J140" i="4" s="1"/>
  <c r="E140" i="4"/>
  <c r="H139" i="4"/>
  <c r="J139" i="4" s="1"/>
  <c r="E139" i="4"/>
  <c r="H138" i="4"/>
  <c r="J138" i="4" s="1"/>
  <c r="E138" i="4"/>
  <c r="H137" i="4"/>
  <c r="J137" i="4" s="1"/>
  <c r="E137" i="4"/>
  <c r="H136" i="4"/>
  <c r="J136" i="4" s="1"/>
  <c r="E136" i="4"/>
  <c r="H135" i="4"/>
  <c r="J135" i="4" s="1"/>
  <c r="E135" i="4"/>
  <c r="H134" i="4"/>
  <c r="J134" i="4" s="1"/>
  <c r="E134" i="4"/>
  <c r="H133" i="4"/>
  <c r="J133" i="4" s="1"/>
  <c r="E133" i="4"/>
  <c r="H132" i="4"/>
  <c r="J132" i="4" s="1"/>
  <c r="E132" i="4"/>
  <c r="H131" i="4"/>
  <c r="J131" i="4" s="1"/>
  <c r="E131" i="4"/>
  <c r="H130" i="4"/>
  <c r="J130" i="4" s="1"/>
  <c r="E130" i="4"/>
  <c r="H129" i="4"/>
  <c r="J129" i="4" s="1"/>
  <c r="E129" i="4"/>
  <c r="H128" i="4"/>
  <c r="J128" i="4" s="1"/>
  <c r="E128" i="4"/>
  <c r="H127" i="4"/>
  <c r="J127" i="4" s="1"/>
  <c r="E127" i="4"/>
  <c r="H126" i="4"/>
  <c r="J126" i="4" s="1"/>
  <c r="E126" i="4"/>
  <c r="H125" i="4"/>
  <c r="J125" i="4" s="1"/>
  <c r="E125" i="4"/>
  <c r="H124" i="4"/>
  <c r="J124" i="4" s="1"/>
  <c r="E124" i="4"/>
  <c r="H123" i="4"/>
  <c r="J123" i="4" s="1"/>
  <c r="E123" i="4"/>
  <c r="H122" i="4"/>
  <c r="J122" i="4" s="1"/>
  <c r="E122" i="4"/>
  <c r="H121" i="4"/>
  <c r="J121" i="4" s="1"/>
  <c r="E121" i="4"/>
  <c r="H120" i="4"/>
  <c r="J120" i="4" s="1"/>
  <c r="E120" i="4"/>
  <c r="H119" i="4"/>
  <c r="J119" i="4" s="1"/>
  <c r="E119" i="4"/>
  <c r="H118" i="4"/>
  <c r="J118" i="4" s="1"/>
  <c r="E118" i="4"/>
  <c r="H117" i="4"/>
  <c r="J117" i="4" s="1"/>
  <c r="E117" i="4"/>
  <c r="H116" i="4"/>
  <c r="J116" i="4" s="1"/>
  <c r="E116" i="4"/>
  <c r="H115" i="4"/>
  <c r="J115" i="4" s="1"/>
  <c r="E115" i="4"/>
  <c r="H114" i="4"/>
  <c r="J114" i="4" s="1"/>
  <c r="E114" i="4"/>
  <c r="H113" i="4"/>
  <c r="J113" i="4" s="1"/>
  <c r="E113" i="4"/>
  <c r="H112" i="4"/>
  <c r="J112" i="4" s="1"/>
  <c r="E112" i="4"/>
  <c r="H111" i="4"/>
  <c r="J111" i="4" s="1"/>
  <c r="E111" i="4"/>
  <c r="H110" i="4"/>
  <c r="J110" i="4" s="1"/>
  <c r="E110" i="4"/>
  <c r="H109" i="4"/>
  <c r="J109" i="4" s="1"/>
  <c r="E109" i="4"/>
  <c r="H108" i="4"/>
  <c r="J108" i="4" s="1"/>
  <c r="E108" i="4"/>
  <c r="H107" i="4"/>
  <c r="J107" i="4" s="1"/>
  <c r="E107" i="4"/>
  <c r="H106" i="4"/>
  <c r="J106" i="4" s="1"/>
  <c r="E106" i="4"/>
  <c r="H105" i="4"/>
  <c r="J105" i="4" s="1"/>
  <c r="E105" i="4"/>
  <c r="H104" i="4"/>
  <c r="J104" i="4" s="1"/>
  <c r="E104" i="4"/>
  <c r="H103" i="4"/>
  <c r="J103" i="4" s="1"/>
  <c r="E103" i="4"/>
  <c r="H102" i="4"/>
  <c r="J102" i="4" s="1"/>
  <c r="E102" i="4"/>
  <c r="H101" i="4"/>
  <c r="J101" i="4" s="1"/>
  <c r="E101" i="4"/>
  <c r="H100" i="4"/>
  <c r="J100" i="4" s="1"/>
  <c r="E100" i="4"/>
  <c r="H99" i="4"/>
  <c r="J99" i="4" s="1"/>
  <c r="E99" i="4"/>
  <c r="H98" i="4"/>
  <c r="J98" i="4" s="1"/>
  <c r="E98" i="4"/>
  <c r="H97" i="4"/>
  <c r="J97" i="4" s="1"/>
  <c r="E97" i="4"/>
  <c r="H96" i="4"/>
  <c r="J96" i="4" s="1"/>
  <c r="E96" i="4"/>
  <c r="H95" i="4"/>
  <c r="J95" i="4" s="1"/>
  <c r="E95" i="4"/>
  <c r="H94" i="4"/>
  <c r="J94" i="4" s="1"/>
  <c r="E94" i="4"/>
  <c r="H93" i="4"/>
  <c r="J93" i="4" s="1"/>
  <c r="E93" i="4"/>
  <c r="H92" i="4"/>
  <c r="J92" i="4" s="1"/>
  <c r="E92" i="4"/>
  <c r="H91" i="4"/>
  <c r="J91" i="4" s="1"/>
  <c r="E91" i="4"/>
  <c r="H90" i="4"/>
  <c r="J90" i="4" s="1"/>
  <c r="E90" i="4"/>
  <c r="H89" i="4"/>
  <c r="J89" i="4" s="1"/>
  <c r="E89" i="4"/>
  <c r="H88" i="4"/>
  <c r="J88" i="4" s="1"/>
  <c r="E88" i="4"/>
  <c r="H87" i="4"/>
  <c r="J87" i="4" s="1"/>
  <c r="E87" i="4"/>
  <c r="H86" i="4"/>
  <c r="J86" i="4" s="1"/>
  <c r="E86" i="4"/>
  <c r="H85" i="4"/>
  <c r="J85" i="4" s="1"/>
  <c r="E85" i="4"/>
  <c r="H84" i="4"/>
  <c r="J84" i="4" s="1"/>
  <c r="E84" i="4"/>
  <c r="H83" i="4"/>
  <c r="J83" i="4" s="1"/>
  <c r="E83" i="4"/>
  <c r="H82" i="4"/>
  <c r="J82" i="4" s="1"/>
  <c r="E82" i="4"/>
  <c r="H81" i="4"/>
  <c r="J81" i="4" s="1"/>
  <c r="E81" i="4"/>
  <c r="H80" i="4"/>
  <c r="J80" i="4" s="1"/>
  <c r="E80" i="4"/>
  <c r="H79" i="4"/>
  <c r="J79" i="4" s="1"/>
  <c r="E79" i="4"/>
  <c r="H78" i="4"/>
  <c r="J78" i="4" s="1"/>
  <c r="E78" i="4"/>
  <c r="H77" i="4"/>
  <c r="J77" i="4" s="1"/>
  <c r="E77" i="4"/>
  <c r="H76" i="4"/>
  <c r="J76" i="4" s="1"/>
  <c r="E76" i="4"/>
  <c r="H75" i="4"/>
  <c r="J75" i="4" s="1"/>
  <c r="E75" i="4"/>
  <c r="H74" i="4"/>
  <c r="J74" i="4" s="1"/>
  <c r="E74" i="4"/>
  <c r="H73" i="4"/>
  <c r="J73" i="4" s="1"/>
  <c r="E73" i="4"/>
  <c r="H72" i="4"/>
  <c r="J72" i="4" s="1"/>
  <c r="E72" i="4"/>
  <c r="H71" i="4"/>
  <c r="J71" i="4" s="1"/>
  <c r="E71" i="4"/>
  <c r="H70" i="4"/>
  <c r="J70" i="4" s="1"/>
  <c r="E70" i="4"/>
  <c r="H69" i="4"/>
  <c r="J69" i="4" s="1"/>
  <c r="E69" i="4"/>
  <c r="H68" i="4"/>
  <c r="J68" i="4" s="1"/>
  <c r="E68" i="4"/>
  <c r="H67" i="4"/>
  <c r="J67" i="4" s="1"/>
  <c r="E67" i="4"/>
  <c r="H66" i="4"/>
  <c r="J66" i="4" s="1"/>
  <c r="E66" i="4"/>
  <c r="H65" i="4"/>
  <c r="J65" i="4" s="1"/>
  <c r="E65" i="4"/>
  <c r="H64" i="4"/>
  <c r="J64" i="4" s="1"/>
  <c r="E64" i="4"/>
  <c r="H63" i="4"/>
  <c r="J63" i="4" s="1"/>
  <c r="E63" i="4"/>
  <c r="H62" i="4"/>
  <c r="J62" i="4" s="1"/>
  <c r="E62" i="4"/>
  <c r="H61" i="4"/>
  <c r="J61" i="4" s="1"/>
  <c r="E61" i="4"/>
  <c r="H60" i="4"/>
  <c r="J60" i="4" s="1"/>
  <c r="E60" i="4"/>
  <c r="H59" i="4"/>
  <c r="J59" i="4" s="1"/>
  <c r="E59" i="4"/>
  <c r="H58" i="4"/>
  <c r="J58" i="4" s="1"/>
  <c r="E58" i="4"/>
  <c r="H57" i="4"/>
  <c r="J57" i="4" s="1"/>
  <c r="E57" i="4"/>
  <c r="H56" i="4"/>
  <c r="J56" i="4" s="1"/>
  <c r="E56" i="4"/>
  <c r="H55" i="4"/>
  <c r="J55" i="4" s="1"/>
  <c r="E55" i="4"/>
  <c r="H54" i="4"/>
  <c r="J54" i="4" s="1"/>
  <c r="E54" i="4"/>
  <c r="H53" i="4"/>
  <c r="J53" i="4" s="1"/>
  <c r="E53" i="4"/>
  <c r="H52" i="4"/>
  <c r="J52" i="4" s="1"/>
  <c r="E52" i="4"/>
  <c r="H51" i="4"/>
  <c r="J51" i="4" s="1"/>
  <c r="E51" i="4"/>
  <c r="H50" i="4"/>
  <c r="J50" i="4" s="1"/>
  <c r="E50" i="4"/>
  <c r="H49" i="4"/>
  <c r="J49" i="4" s="1"/>
  <c r="E49" i="4"/>
  <c r="H48" i="4"/>
  <c r="J48" i="4" s="1"/>
  <c r="E48" i="4"/>
  <c r="H47" i="4"/>
  <c r="J47" i="4" s="1"/>
  <c r="E47" i="4"/>
  <c r="H46" i="4"/>
  <c r="J46" i="4" s="1"/>
  <c r="E46" i="4"/>
  <c r="H45" i="4"/>
  <c r="J45" i="4" s="1"/>
  <c r="E45" i="4"/>
  <c r="H44" i="4"/>
  <c r="J44" i="4" s="1"/>
  <c r="E44" i="4"/>
  <c r="H43" i="4"/>
  <c r="J43" i="4" s="1"/>
  <c r="E43" i="4"/>
  <c r="H42" i="4"/>
  <c r="J42" i="4" s="1"/>
  <c r="E42" i="4"/>
  <c r="H41" i="4"/>
  <c r="J41" i="4" s="1"/>
  <c r="E41" i="4"/>
  <c r="H40" i="4"/>
  <c r="J40" i="4" s="1"/>
  <c r="E40" i="4"/>
  <c r="H39" i="4"/>
  <c r="J39" i="4" s="1"/>
  <c r="E39" i="4"/>
  <c r="H38" i="4"/>
  <c r="J38" i="4" s="1"/>
  <c r="E38" i="4"/>
  <c r="H37" i="4"/>
  <c r="J37" i="4" s="1"/>
  <c r="E37" i="4"/>
  <c r="H36" i="4"/>
  <c r="J36" i="4" s="1"/>
  <c r="E36" i="4"/>
  <c r="H35" i="4"/>
  <c r="J35" i="4" s="1"/>
  <c r="E35" i="4"/>
  <c r="H34" i="4"/>
  <c r="J34" i="4" s="1"/>
  <c r="E34" i="4"/>
  <c r="H33" i="4"/>
  <c r="J33" i="4" s="1"/>
  <c r="E33" i="4"/>
  <c r="H32" i="4"/>
  <c r="J32" i="4" s="1"/>
  <c r="E32" i="4"/>
  <c r="H31" i="4"/>
  <c r="J31" i="4" s="1"/>
  <c r="E31" i="4"/>
  <c r="H30" i="4"/>
  <c r="J30" i="4" s="1"/>
  <c r="E30" i="4"/>
  <c r="H29" i="4"/>
  <c r="J29" i="4" s="1"/>
  <c r="E29" i="4"/>
  <c r="H28" i="4"/>
  <c r="J28" i="4" s="1"/>
  <c r="E28" i="4"/>
  <c r="H27" i="4"/>
  <c r="J27" i="4" s="1"/>
  <c r="E27" i="4"/>
  <c r="H26" i="4"/>
  <c r="J26" i="4" s="1"/>
  <c r="E26" i="4"/>
  <c r="H25" i="4"/>
  <c r="J25" i="4" s="1"/>
  <c r="E25" i="4"/>
  <c r="H24" i="4"/>
  <c r="J24" i="4" s="1"/>
  <c r="E24" i="4"/>
  <c r="H23" i="4"/>
  <c r="J23" i="4" s="1"/>
  <c r="E23" i="4"/>
  <c r="H22" i="4"/>
  <c r="J22" i="4" s="1"/>
  <c r="E22" i="4"/>
  <c r="H21" i="4"/>
  <c r="J21" i="4" s="1"/>
  <c r="E21" i="4"/>
  <c r="H20" i="4"/>
  <c r="J20" i="4" s="1"/>
  <c r="E20" i="4"/>
  <c r="H19" i="4"/>
  <c r="J19" i="4" s="1"/>
  <c r="E19" i="4"/>
  <c r="H18" i="4"/>
  <c r="J18" i="4" s="1"/>
  <c r="E18" i="4"/>
  <c r="H17" i="4"/>
  <c r="J17" i="4" s="1"/>
  <c r="E17" i="4"/>
  <c r="H16" i="4"/>
  <c r="J16" i="4" s="1"/>
  <c r="E16" i="4"/>
  <c r="H15" i="4"/>
  <c r="J15" i="4" s="1"/>
  <c r="E15" i="4"/>
  <c r="H14" i="4"/>
  <c r="J14" i="4" s="1"/>
  <c r="E14" i="4"/>
  <c r="H13" i="4"/>
  <c r="J13" i="4" s="1"/>
  <c r="E13" i="4"/>
  <c r="H12" i="4"/>
  <c r="J12" i="4" s="1"/>
  <c r="E12" i="4"/>
  <c r="H11" i="4"/>
  <c r="J11" i="4" s="1"/>
  <c r="E11" i="4"/>
  <c r="H10" i="4"/>
  <c r="J10" i="4" s="1"/>
  <c r="E10" i="4"/>
  <c r="H9" i="4"/>
  <c r="J9" i="4" s="1"/>
  <c r="E9" i="4"/>
  <c r="H8" i="4"/>
  <c r="J8" i="4" s="1"/>
  <c r="E8" i="4"/>
  <c r="H7" i="4"/>
  <c r="J7" i="4" s="1"/>
  <c r="E7" i="4"/>
  <c r="H6" i="4"/>
  <c r="J6" i="4" s="1"/>
  <c r="E6" i="4"/>
  <c r="H5" i="4"/>
  <c r="J5" i="4" s="1"/>
  <c r="E5" i="4"/>
  <c r="H4" i="4"/>
  <c r="J4" i="4" s="1"/>
  <c r="E4" i="4"/>
  <c r="H3" i="4"/>
  <c r="J3" i="4" s="1"/>
  <c r="E3" i="4"/>
  <c r="H2" i="4"/>
  <c r="J2" i="4" s="1"/>
  <c r="E2" i="4"/>
</calcChain>
</file>

<file path=xl/sharedStrings.xml><?xml version="1.0" encoding="utf-8"?>
<sst xmlns="http://schemas.openxmlformats.org/spreadsheetml/2006/main" count="2214" uniqueCount="465">
  <si>
    <t>FOLLICIA — PRODUCT &amp; COLLECTION MASTER</t>
  </si>
  <si>
    <t>Total Unique Designs</t>
  </si>
  <si>
    <t>AURA</t>
  </si>
  <si>
    <t>BLOOM</t>
  </si>
  <si>
    <t>MUSE</t>
  </si>
  <si>
    <t>NOIRE</t>
  </si>
  <si>
    <t>Purpose</t>
  </si>
  <si>
    <t>Single source of truth for Follicia designs, collections, colours, sizes, SKUs, images and developer handover.</t>
  </si>
  <si>
    <t>Design ID / SKU Base</t>
  </si>
  <si>
    <t>Collection</t>
  </si>
  <si>
    <t>Sub-Collection</t>
  </si>
  <si>
    <t>Product Name</t>
  </si>
  <si>
    <t>Category</t>
  </si>
  <si>
    <t>Silhouette / Toe</t>
  </si>
  <si>
    <t>Material</t>
  </si>
  <si>
    <t>Hero Colour</t>
  </si>
  <si>
    <t>Available Colours</t>
  </si>
  <si>
    <t>Size Range</t>
  </si>
  <si>
    <t>Heel Height (mm)</t>
  </si>
  <si>
    <t>Price (₹)</t>
  </si>
  <si>
    <t>Product Status</t>
  </si>
  <si>
    <t>Design Status</t>
  </si>
  <si>
    <t>Image Status</t>
  </si>
  <si>
    <t>Front Image</t>
  </si>
  <si>
    <t>Side Image</t>
  </si>
  <si>
    <t>Top Image</t>
  </si>
  <si>
    <t>Back Image</t>
  </si>
  <si>
    <t>Outsole Image</t>
  </si>
  <si>
    <t>Detail Image</t>
  </si>
  <si>
    <t>Lifestyle Image</t>
  </si>
  <si>
    <t>Developer Notes</t>
  </si>
  <si>
    <t>FA-01</t>
  </si>
  <si>
    <t>Aura Wave</t>
  </si>
  <si>
    <t>Flat</t>
  </si>
  <si>
    <t>Open square toe</t>
  </si>
  <si>
    <t>Satin / soft vegan leather with sculpted wave upper</t>
  </si>
  <si>
    <t>Warm Ivory</t>
  </si>
  <si>
    <t>38–41</t>
  </si>
  <si>
    <t>Live</t>
  </si>
  <si>
    <t>Final</t>
  </si>
  <si>
    <t>Source image supplied</t>
  </si>
  <si>
    <t>Top-view asset supplied in updated Aura ZIP.</t>
  </si>
  <si>
    <t>FA-02</t>
  </si>
  <si>
    <t>Aura Twist</t>
  </si>
  <si>
    <t>Pleated satin / soft vegan leather</t>
  </si>
  <si>
    <t>Champagne Nude</t>
  </si>
  <si>
    <t>Open-toe twist flat; primary asset supplied.</t>
  </si>
  <si>
    <t>FA-03</t>
  </si>
  <si>
    <t>Aura Sculpt</t>
  </si>
  <si>
    <t>Closed pointed toe</t>
  </si>
  <si>
    <t>Soft vegan leather with sculpted side panels</t>
  </si>
  <si>
    <t>Soft Nude</t>
  </si>
  <si>
    <t>Closed pointed flat mule silhouette; primary asset supplied.</t>
  </si>
  <si>
    <t>FA-04</t>
  </si>
  <si>
    <t>Aura Curve</t>
  </si>
  <si>
    <t>flat</t>
  </si>
  <si>
    <t>Matte vegan leather with sculptural infinity heel</t>
  </si>
  <si>
    <t>Jet Black</t>
  </si>
  <si>
    <t>Pointed pump with sculptural gold infinity-style heel.</t>
  </si>
  <si>
    <t>FA-05</t>
  </si>
  <si>
    <t>Aura Fold</t>
  </si>
  <si>
    <t>Folded satin with ribbon ankle ties</t>
  </si>
  <si>
    <t>Pearl Ivory</t>
  </si>
  <si>
    <t>Closed pointed slingback flat with folded front.</t>
  </si>
  <si>
    <t>FA-06</t>
  </si>
  <si>
    <t>Aura Loop</t>
  </si>
  <si>
    <t>Heel</t>
  </si>
  <si>
    <t>Soft vegan leather with loop hardware</t>
  </si>
  <si>
    <t>Classic Ivory</t>
  </si>
  <si>
    <t>Loop-detail sandal with sculptural spiral heel.</t>
  </si>
  <si>
    <t>FA-07</t>
  </si>
  <si>
    <t>Aura Infinity</t>
  </si>
  <si>
    <t>Matte vegan leather with metallic infinity heel</t>
  </si>
  <si>
    <t>Updated Aura ZIP replaces Aura Knot with Aura Infinity.</t>
  </si>
  <si>
    <t>FA-08</t>
  </si>
  <si>
    <t>Aura Frame</t>
  </si>
  <si>
    <t>Open round toe</t>
  </si>
  <si>
    <t>Soft vegan leather with metallic toe rings</t>
  </si>
  <si>
    <t>Pearl White</t>
  </si>
  <si>
    <t>Minimal flat toe-ring sandal; primary asset supplied.</t>
  </si>
  <si>
    <t>FA-09</t>
  </si>
  <si>
    <t>Aura Arc</t>
  </si>
  <si>
    <t>Satin / soft vegan leather</t>
  </si>
  <si>
    <t>Classic closed pointed pump; front-view asset supplied.</t>
  </si>
  <si>
    <t>FA-10</t>
  </si>
  <si>
    <t>Aura Line</t>
  </si>
  <si>
    <t>Soft vegan leather</t>
  </si>
  <si>
    <t>Warm Nude</t>
  </si>
  <si>
    <t>Minimal thong-line sandal heel; primary asset supplied.</t>
  </si>
  <si>
    <t>FA-11</t>
  </si>
  <si>
    <t>Aura Flow</t>
  </si>
  <si>
    <t>Mule</t>
  </si>
  <si>
    <t>Closed pointed-toe mule</t>
  </si>
  <si>
    <t>Satin with sheer mesh panels and slim crossover straps</t>
  </si>
  <si>
    <t>Pointed high-heel mule with sheer mesh panels and crossover satin straps; final primary asset supplied.</t>
  </si>
  <si>
    <t>FA-12</t>
  </si>
  <si>
    <t>Aura Rise</t>
  </si>
  <si>
    <t>Closed almond toe</t>
  </si>
  <si>
    <t>Soft vegan leather with cushioned platform</t>
  </si>
  <si>
    <t>Closed platform pump; updated Aura asset supplied.</t>
  </si>
  <si>
    <t>FB-01</t>
  </si>
  <si>
    <t>Bloom Blush</t>
  </si>
  <si>
    <t>Closed rounded-square toe</t>
  </si>
  <si>
    <t>Woven textile with floral embroidery</t>
  </si>
  <si>
    <t>Primary 3/4 product image supplied.</t>
  </si>
  <si>
    <t>FB-02</t>
  </si>
  <si>
    <t>Bloom Rosé</t>
  </si>
  <si>
    <t>Closed rounded toe</t>
  </si>
  <si>
    <t>Embroidered textile with 3D rose appliqué</t>
  </si>
  <si>
    <t>Dusty Blush Rose</t>
  </si>
  <si>
    <t>FB-03</t>
  </si>
  <si>
    <t>Bloom Lily Lace</t>
  </si>
  <si>
    <t>Textile upper with lily embroidery</t>
  </si>
  <si>
    <t>Flat slide silhouette; primary 3/4 image supplied.</t>
  </si>
  <si>
    <t>FB-04</t>
  </si>
  <si>
    <t>Bloom Dahlia</t>
  </si>
  <si>
    <t>Satin with floral bead embellishment</t>
  </si>
  <si>
    <t>Butter Champagne</t>
  </si>
  <si>
    <t>Slingback heel; primary 3/4 image supplied.</t>
  </si>
  <si>
    <t>FB-05</t>
  </si>
  <si>
    <t>Bloom Bow Kiss</t>
  </si>
  <si>
    <t>Closed square toe</t>
  </si>
  <si>
    <t>Soft vegan leather with cord bow</t>
  </si>
  <si>
    <t>Soft Ivory</t>
  </si>
  <si>
    <t>Soft Ivory / Deep Burgundy</t>
  </si>
  <si>
    <t>Slingback flat; burgundy bow is the key accent.</t>
  </si>
  <si>
    <t>FB-06</t>
  </si>
  <si>
    <t>Bloom Garden Glow</t>
  </si>
  <si>
    <t>Transparent PVC with floral appliqués</t>
  </si>
  <si>
    <t>Transparent Blush</t>
  </si>
  <si>
    <t>Transparent floral pump; primary 3/4 image supplied.</t>
  </si>
  <si>
    <t>FB-07</t>
  </si>
  <si>
    <t>Bloom Vine</t>
  </si>
  <si>
    <t>Satin / vegan leather with floral vine appliqués</t>
  </si>
  <si>
    <t>Ankle-strap stiletto; primary 3/4 image supplied.</t>
  </si>
  <si>
    <t>FB-08</t>
  </si>
  <si>
    <t>Bloom Pretty Pearl</t>
  </si>
  <si>
    <t>Satin with pearl and crystal embellishment</t>
  </si>
  <si>
    <t>ZIP image shows a pointed-toe stiletto pump, not a flat.</t>
  </si>
  <si>
    <t>FB-09</t>
  </si>
  <si>
    <t>Bloom Fleur Slingback</t>
  </si>
  <si>
    <t>Printed textile with 3D floral appliqués</t>
  </si>
  <si>
    <t>Champagne Beige</t>
  </si>
  <si>
    <t>ZIP image shows a floral slingback heel, not a mule.</t>
  </si>
  <si>
    <t>FB-10</t>
  </si>
  <si>
    <t>Bloom Grace</t>
  </si>
  <si>
    <t>Printed textile / vegan leather</t>
  </si>
  <si>
    <t>Cream Ivory</t>
  </si>
  <si>
    <t>Block-heel mule; primary 3/4 image supplied.</t>
  </si>
  <si>
    <t>FM-01</t>
  </si>
  <si>
    <t>Muse Cobra</t>
  </si>
  <si>
    <t>Vegan leather with snakeskin-print textile</t>
  </si>
  <si>
    <t>Sand Beige</t>
  </si>
  <si>
    <t>Flat double-buckle slide; primary image supplied.</t>
  </si>
  <si>
    <t>FM-02</t>
  </si>
  <si>
    <t>Muse Fawn Trim</t>
  </si>
  <si>
    <t>Suede-texture textile with soft faux-fur trim</t>
  </si>
  <si>
    <t>Soft Fawn Nude</t>
  </si>
  <si>
    <t>Closed-toe stiletto pump; primary image supplied.</t>
  </si>
  <si>
    <t>FM-03</t>
  </si>
  <si>
    <t>Muse Monarch D'Orsay</t>
  </si>
  <si>
    <t>Printed textile with butterfly-wing motif</t>
  </si>
  <si>
    <t>Monarch Orange</t>
  </si>
  <si>
    <t>Monarch Orange / Black</t>
  </si>
  <si>
    <t>D'Orsay statement heel; primary image supplied.</t>
  </si>
  <si>
    <t>FM-04</t>
  </si>
  <si>
    <t>Muse Plume Oxford</t>
  </si>
  <si>
    <t>Textured textile with feather-inspired finish</t>
  </si>
  <si>
    <t>Heeled Oxford shoe; corrected from Boots.</t>
  </si>
  <si>
    <t>FM-05</t>
  </si>
  <si>
    <t>Muse Ranch</t>
  </si>
  <si>
    <t>Cow-print hair-on textile / faux fur</t>
  </si>
  <si>
    <t>Ivory &amp; Chocolate Brown</t>
  </si>
  <si>
    <t>Ivory / Chocolate Brown</t>
  </si>
  <si>
    <t>Closed-toe flat mule; primary image supplied.</t>
  </si>
  <si>
    <t>FM-06</t>
  </si>
  <si>
    <t>Muse Reptile Mary Jane</t>
  </si>
  <si>
    <t>Closed soft-square toe</t>
  </si>
  <si>
    <t>Reptile-embossed vegan leather</t>
  </si>
  <si>
    <t>Mary Jane heel; name expanded to match ZIP asset.</t>
  </si>
  <si>
    <t>FM-07</t>
  </si>
  <si>
    <t>Muse Roar</t>
  </si>
  <si>
    <t>Leopard-print faux fur / hair-on textile</t>
  </si>
  <si>
    <t>Leopard Tan</t>
  </si>
  <si>
    <t>Leopard Tan / Black</t>
  </si>
  <si>
    <t>Slingback stiletto with fur trim; primary image supplied.</t>
  </si>
  <si>
    <t>FM-08</t>
  </si>
  <si>
    <t>Muse Trace</t>
  </si>
  <si>
    <t>Woven textile with zebra-stripe pattern</t>
  </si>
  <si>
    <t>Deep Black &amp; Caramel</t>
  </si>
  <si>
    <t>Deep Black / Caramel</t>
  </si>
  <si>
    <t>FN-01</t>
  </si>
  <si>
    <t>Noire Afterdark</t>
  </si>
  <si>
    <t>Ruched satin with tonal crystal detail</t>
  </si>
  <si>
    <t>Charcoal Black</t>
  </si>
  <si>
    <t>ZIP image shows an open-back heeled mule.</t>
  </si>
  <si>
    <t>FN-02</t>
  </si>
  <si>
    <t>Noire Chrome</t>
  </si>
  <si>
    <t>High-shine metallic vegan leather</t>
  </si>
  <si>
    <t>Gunmetal Chrome</t>
  </si>
  <si>
    <t>Metallic slingback heel; primary image supplied.</t>
  </si>
  <si>
    <t>FN-03</t>
  </si>
  <si>
    <t>Noire Daze</t>
  </si>
  <si>
    <t>Crystal-embellished textile / mesh</t>
  </si>
  <si>
    <t>Crystal Silver</t>
  </si>
  <si>
    <t>Toe-ring heeled mule; primary image supplied.</t>
  </si>
  <si>
    <t>FN-04</t>
  </si>
  <si>
    <t>Noire Eclipse</t>
  </si>
  <si>
    <t>Matte vegan leather with tonal eclipse embroidery</t>
  </si>
  <si>
    <t>Matte Black</t>
  </si>
  <si>
    <t>Closed-toe heeled mule; no mesh.</t>
  </si>
  <si>
    <t>FN-05</t>
  </si>
  <si>
    <t>Noire Glint</t>
  </si>
  <si>
    <t>Crystal-studded textile with sheer side panels</t>
  </si>
  <si>
    <t>Midnight Black</t>
  </si>
  <si>
    <t>Pointed flat; primary image supplied.</t>
  </si>
  <si>
    <t>FN-06</t>
  </si>
  <si>
    <t>Noire Luna</t>
  </si>
  <si>
    <t>Boots</t>
  </si>
  <si>
    <t>Pearlescent satin / vegan leather</t>
  </si>
  <si>
    <t>Pearlescent Silver</t>
  </si>
  <si>
    <t>Ankle boot with moon embroidery; spelling standardized from luna.</t>
  </si>
  <si>
    <t>FN-07</t>
  </si>
  <si>
    <t>Noire Mirage</t>
  </si>
  <si>
    <t>Open peep toe</t>
  </si>
  <si>
    <t>Sheer embellished mesh with metallic structure</t>
  </si>
  <si>
    <t>Champagne Nude / Gold</t>
  </si>
  <si>
    <t>Platform ankle-strap heel; spelling corrected from Mirrage.</t>
  </si>
  <si>
    <t>FN-08</t>
  </si>
  <si>
    <t>Noire Nyx</t>
  </si>
  <si>
    <t>Crystal-encrusted textile</t>
  </si>
  <si>
    <t>Stiletto pump; capitalization standardized.</t>
  </si>
  <si>
    <t>FN-09</t>
  </si>
  <si>
    <t>Noire Sheer</t>
  </si>
  <si>
    <t>Sheer mesh with crystal accents and metallic toe cap</t>
  </si>
  <si>
    <t>Smoky Nude</t>
  </si>
  <si>
    <t>Smoky Nude / Black</t>
  </si>
  <si>
    <t>Sheer pointed flat; primary image supplied.</t>
  </si>
  <si>
    <t>FN-10</t>
  </si>
  <si>
    <t>Noire Vice</t>
  </si>
  <si>
    <t>Glossy vegan leather</t>
  </si>
  <si>
    <t>Glossy Black</t>
  </si>
  <si>
    <t>Sculptural open-toe heel; primary image supplied.</t>
  </si>
  <si>
    <t>Design ID</t>
  </si>
  <si>
    <t>Colour</t>
  </si>
  <si>
    <t>Size</t>
  </si>
  <si>
    <t>Full SKU</t>
  </si>
  <si>
    <t>Opening Stock</t>
  </si>
  <si>
    <t>Reserved</t>
  </si>
  <si>
    <t>Available Stock</t>
  </si>
  <si>
    <t>Reorder Level</t>
  </si>
  <si>
    <t>Stock Status</t>
  </si>
  <si>
    <t>Notes</t>
  </si>
  <si>
    <t>Front</t>
  </si>
  <si>
    <t>Side</t>
  </si>
  <si>
    <t>Top</t>
  </si>
  <si>
    <t>Back</t>
  </si>
  <si>
    <t>Outsole</t>
  </si>
  <si>
    <t>Detail</t>
  </si>
  <si>
    <t>Lifestyle</t>
  </si>
  <si>
    <t>Transparent/Ivory Background</t>
  </si>
  <si>
    <t>Image Approved</t>
  </si>
  <si>
    <t>Final File Name</t>
  </si>
  <si>
    <t>Folder/Link</t>
  </si>
  <si>
    <t>Primary asset available</t>
  </si>
  <si>
    <t>Pending</t>
  </si>
  <si>
    <t>Ivory</t>
  </si>
  <si>
    <t>Yes</t>
  </si>
  <si>
    <t>Aura wave top view.png</t>
  </si>
  <si>
    <t>Aura Collection Zip(2) / Aura wave top view.png</t>
  </si>
  <si>
    <t>Transparent</t>
  </si>
  <si>
    <t>AURA TWIST FLATS (2).png</t>
  </si>
  <si>
    <t>Aura Collection Zip(2) / AURA TWIST FLATS (2).png</t>
  </si>
  <si>
    <t>AURA SCULPT FLATS (2).png</t>
  </si>
  <si>
    <t>Aura Collection Zip(2) / AURA SCULPT FLATS (2).png</t>
  </si>
  <si>
    <t>Aura Curve.png</t>
  </si>
  <si>
    <t>Aura Collection Zip(2) / Aura Curve.png</t>
  </si>
  <si>
    <t>Aura fold flat.png</t>
  </si>
  <si>
    <t>Aura Collection Zip(2) / Aura fold flat.png</t>
  </si>
  <si>
    <t>AURA LOOP HEELS (2).png</t>
  </si>
  <si>
    <t>Aura Collection Zip(2) / AURA LOOP HEELS (2).png</t>
  </si>
  <si>
    <t>Aura Infinity.png</t>
  </si>
  <si>
    <t>Aura Collection Zip(2) / Aura Infinity.png</t>
  </si>
  <si>
    <t>AURA FRAME.png</t>
  </si>
  <si>
    <t>Aura Collection Zip(2) / AURA FRAME.png</t>
  </si>
  <si>
    <t>AURA ARC.png</t>
  </si>
  <si>
    <t>Aura Collection Zip(2) / AURA ARC.png</t>
  </si>
  <si>
    <t>AURA LINE HEELS.png</t>
  </si>
  <si>
    <t>Aura Collection Zip(2) / AURA LINE HEELS.png</t>
  </si>
  <si>
    <t>Aura Flow.png</t>
  </si>
  <si>
    <t>Aura Collection Zip(2) / Aura Flow.png</t>
  </si>
  <si>
    <t>Pointed high-heel mule with sheer mesh panels; final primary asset supplied.</t>
  </si>
  <si>
    <t>Aura Rise (2).png</t>
  </si>
  <si>
    <t>Aura Collection Zip(2) / Aura Rise (2).png</t>
  </si>
  <si>
    <t>Primary 3/4 available</t>
  </si>
  <si>
    <t>Bloom Blush Flats.png</t>
  </si>
  <si>
    <t>Collection ZIP / Bloom Blush Flats.png</t>
  </si>
  <si>
    <t>Bloom Rose' Flat.png</t>
  </si>
  <si>
    <t>Collection ZIP / Bloom Rose' Flat.png</t>
  </si>
  <si>
    <t>Bloom Lily Lace.png</t>
  </si>
  <si>
    <t>Collection ZIP / Bloom Lily Lace.png</t>
  </si>
  <si>
    <t>Bloom Dahlia.png</t>
  </si>
  <si>
    <t>Collection ZIP / Bloom Dahlia.png</t>
  </si>
  <si>
    <t>Bloom Bow Kiss.png</t>
  </si>
  <si>
    <t>Collection ZIP / Bloom Bow Kiss.png</t>
  </si>
  <si>
    <t>Bloom garden glow.png</t>
  </si>
  <si>
    <t>Collection ZIP / Bloom garden glow.png</t>
  </si>
  <si>
    <t>bloom Vine Heels.png</t>
  </si>
  <si>
    <t>Collection ZIP / bloom Vine Heels.png</t>
  </si>
  <si>
    <t>Bloom Pretty pearl.png</t>
  </si>
  <si>
    <t>Collection ZIP / Bloom Pretty pearl.png</t>
  </si>
  <si>
    <t>Bloom Fleur Slingback.png</t>
  </si>
  <si>
    <t>Collection ZIP / Bloom Fleur Slingback.png</t>
  </si>
  <si>
    <t>Bloom Grace mules.png</t>
  </si>
  <si>
    <t>Collection ZIP / Bloom Grace mules.png</t>
  </si>
  <si>
    <t>Muse Cobra.png</t>
  </si>
  <si>
    <t>Collection ZIP / Muse Cobra.png</t>
  </si>
  <si>
    <t>Muse Fawn trim stilettos.png</t>
  </si>
  <si>
    <t>Collection ZIP / Muse Fawn trim stilettos.png</t>
  </si>
  <si>
    <t>Muse Monarch D'orsay Heels.png</t>
  </si>
  <si>
    <t>Collection ZIP / Muse Monarch D'orsay Heels.png</t>
  </si>
  <si>
    <t>Muse Plume Oxford heels.png</t>
  </si>
  <si>
    <t>Collection ZIP / Muse Plume Oxford heels.png</t>
  </si>
  <si>
    <t>Muse Ranch.png</t>
  </si>
  <si>
    <t>Collection ZIP / Muse Ranch.png</t>
  </si>
  <si>
    <t>Muse Reptile mary jane heels.png</t>
  </si>
  <si>
    <t>Collection ZIP / Muse Reptile mary jane heels.png</t>
  </si>
  <si>
    <t>Muse Roar stilettos.png</t>
  </si>
  <si>
    <t>Collection ZIP / Muse Roar stilettos.png</t>
  </si>
  <si>
    <t>Muse Trace Mules.png</t>
  </si>
  <si>
    <t>Collection ZIP / Muse Trace Mules.png</t>
  </si>
  <si>
    <t>Noire Afterdark.png</t>
  </si>
  <si>
    <t>Collection ZIP / Noire Afterdark.png</t>
  </si>
  <si>
    <t>Noire Chrome.png</t>
  </si>
  <si>
    <t>Collection ZIP / Noire Chrome.png</t>
  </si>
  <si>
    <t>Noire Daze.png</t>
  </si>
  <si>
    <t>Collection ZIP / Noire Daze.png</t>
  </si>
  <si>
    <t>Noire Eclipse.png</t>
  </si>
  <si>
    <t>Collection ZIP / Noire Eclipse.png</t>
  </si>
  <si>
    <t>Noire Glint.png</t>
  </si>
  <si>
    <t>Collection ZIP / Noire Glint.png</t>
  </si>
  <si>
    <t>Noire Luna heels.png</t>
  </si>
  <si>
    <t>Collection ZIP / Noire Luna heels.png</t>
  </si>
  <si>
    <t>Noire Mirrage.png</t>
  </si>
  <si>
    <t>Collection ZIP / Noire Mirrage.png</t>
  </si>
  <si>
    <t>Noire NYX.png</t>
  </si>
  <si>
    <t>Collection ZIP / Noire NYX.png</t>
  </si>
  <si>
    <t>Noire Sheer.png</t>
  </si>
  <si>
    <t>Collection ZIP / Noire Sheer.png</t>
  </si>
  <si>
    <t>Noire Vice.png</t>
  </si>
  <si>
    <t>Collection ZIP / Noire Vice.png</t>
  </si>
  <si>
    <t>Colour Name</t>
  </si>
  <si>
    <t>Colour Code</t>
  </si>
  <si>
    <t>Colour Family</t>
  </si>
  <si>
    <t>Colour Variant SKU</t>
  </si>
  <si>
    <t>Image Ready?</t>
  </si>
  <si>
    <t>Image File Name</t>
  </si>
  <si>
    <t>Website Swatch</t>
  </si>
  <si>
    <t>Status</t>
  </si>
  <si>
    <t>WI</t>
  </si>
  <si>
    <t>Neutral</t>
  </si>
  <si>
    <t>FA-01-WI</t>
  </si>
  <si>
    <t>Ready</t>
  </si>
  <si>
    <t>Source asset supplied</t>
  </si>
  <si>
    <t>CN</t>
  </si>
  <si>
    <t>Metallic/Neutral</t>
  </si>
  <si>
    <t>FA-02-CN</t>
  </si>
  <si>
    <t>SN</t>
  </si>
  <si>
    <t>FA-03-SN</t>
  </si>
  <si>
    <t>JB</t>
  </si>
  <si>
    <t>Dark</t>
  </si>
  <si>
    <t>FA-04-JB</t>
  </si>
  <si>
    <t>PI</t>
  </si>
  <si>
    <t>FA-05-PI</t>
  </si>
  <si>
    <t>CI</t>
  </si>
  <si>
    <t>FA-06-CI</t>
  </si>
  <si>
    <t>FA-07-JB</t>
  </si>
  <si>
    <t>PW</t>
  </si>
  <si>
    <t>FA-08-PW</t>
  </si>
  <si>
    <t>FA-09-CN</t>
  </si>
  <si>
    <t>WN</t>
  </si>
  <si>
    <t>FA-10-WN</t>
  </si>
  <si>
    <t>FA-11-PI</t>
  </si>
  <si>
    <t>FA-12-JB</t>
  </si>
  <si>
    <t>FB-01-WI</t>
  </si>
  <si>
    <t>DBR</t>
  </si>
  <si>
    <t>Warm/Colour</t>
  </si>
  <si>
    <t>FB-02-DBR</t>
  </si>
  <si>
    <t>FB-03-PI</t>
  </si>
  <si>
    <t>BC</t>
  </si>
  <si>
    <t>FB-04-BC</t>
  </si>
  <si>
    <t>SI</t>
  </si>
  <si>
    <t>FB-05-SI</t>
  </si>
  <si>
    <t>TB</t>
  </si>
  <si>
    <t>FB-06-TB</t>
  </si>
  <si>
    <t>FB-07-CI</t>
  </si>
  <si>
    <t>Pattern/Mixed</t>
  </si>
  <si>
    <t>FB-08-PW</t>
  </si>
  <si>
    <t>CB</t>
  </si>
  <si>
    <t>FB-09-CB</t>
  </si>
  <si>
    <t>FB-10-CI</t>
  </si>
  <si>
    <t>SB</t>
  </si>
  <si>
    <t>FM-01-SB</t>
  </si>
  <si>
    <t>SFN</t>
  </si>
  <si>
    <t>FM-02-SFN</t>
  </si>
  <si>
    <t>MO</t>
  </si>
  <si>
    <t>FM-03-MO</t>
  </si>
  <si>
    <t>FM-04-CI</t>
  </si>
  <si>
    <t>ICB</t>
  </si>
  <si>
    <t>FM-05-ICB</t>
  </si>
  <si>
    <t>FM-06-CB</t>
  </si>
  <si>
    <t>LT</t>
  </si>
  <si>
    <t>FM-07-LT</t>
  </si>
  <si>
    <t>DBC</t>
  </si>
  <si>
    <t>FM-08-DBC</t>
  </si>
  <si>
    <t>FN-01-CB</t>
  </si>
  <si>
    <t>GC</t>
  </si>
  <si>
    <t>FN-02-GC</t>
  </si>
  <si>
    <t>CS</t>
  </si>
  <si>
    <t>FN-03-CS</t>
  </si>
  <si>
    <t>MB</t>
  </si>
  <si>
    <t>FN-04-MB</t>
  </si>
  <si>
    <t>FN-05-MB</t>
  </si>
  <si>
    <t>PS</t>
  </si>
  <si>
    <t>FN-06-PS</t>
  </si>
  <si>
    <t>FN-07-CN</t>
  </si>
  <si>
    <t>FN-08-JB</t>
  </si>
  <si>
    <t>FN-09-SN</t>
  </si>
  <si>
    <t>GB</t>
  </si>
  <si>
    <t>FN-10-GB</t>
  </si>
  <si>
    <t>Requirement Area</t>
  </si>
  <si>
    <t>Requirement</t>
  </si>
  <si>
    <t>Priority</t>
  </si>
  <si>
    <t>Brand</t>
  </si>
  <si>
    <t>Use final Follicia logo/emblem only; do not recreate or alter it.</t>
  </si>
  <si>
    <t>High</t>
  </si>
  <si>
    <t>Visual</t>
  </si>
  <si>
    <t>Ivory/cream premium luxury aesthetic with subtle champagne-gold accents.</t>
  </si>
  <si>
    <t>Product Images</t>
  </si>
  <si>
    <t>Transparent or ivory backgrounds; consistent scale, lighting and framing.</t>
  </si>
  <si>
    <t>Collections</t>
  </si>
  <si>
    <t>AURA 12, BLOOM 10, MUSE 8, NOIRE 10 = 40 unique designs.</t>
  </si>
  <si>
    <t>Noire</t>
  </si>
  <si>
    <t>NOIRE is evening/party footwear; use a varied palette (black, gunmetal, silver, champagne and smoky nude), not only black.</t>
  </si>
  <si>
    <t>Variants</t>
  </si>
  <si>
    <t>Colours are variants of one design, not separate designs.</t>
  </si>
  <si>
    <t>Sizes</t>
  </si>
  <si>
    <t>Support only EU sizes 38, 39, 40 and 41 for every design.</t>
  </si>
  <si>
    <t>SKU</t>
  </si>
  <si>
    <t>SKU must be unique by Design + Colour + Size.</t>
  </si>
  <si>
    <t>Inventory</t>
  </si>
  <si>
    <t>Track stock at Design + Colour + Size level.</t>
  </si>
  <si>
    <t>Product Page</t>
  </si>
  <si>
    <t>Multiple images, zoom, colour swatches, size selector, description, details, care, shipping/returns.</t>
  </si>
  <si>
    <t>Cart</t>
  </si>
  <si>
    <t>Quantity, colour, size, subtotal, shipping, coupon and total.</t>
  </si>
  <si>
    <t>Checkout</t>
  </si>
  <si>
    <t>Indian payment gateway with UPI/cards/net banking; COD configurable.</t>
  </si>
  <si>
    <t>Admin</t>
  </si>
  <si>
    <t>Admin must be able to add/edit products, colours, sizes, images, prices and stock.</t>
  </si>
  <si>
    <t>SEO</t>
  </si>
  <si>
    <t>SEO title, meta description, clean URLs, alt text and product schema.</t>
  </si>
  <si>
    <t>Medium</t>
  </si>
  <si>
    <t>Mobile</t>
  </si>
  <si>
    <t>Fully responsive, mobile-first product grid, filters, gallery and checkout.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</si>
</sst>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b/>
      <sz val="11"/>
      <name val="Calibri"/>
    </font>
    <font>
      <i/>
      <sz val="11"/>
      <name val="Calibri"/>
    </font>
    <font>
      <sz val="11"/>
      <color rgb="FF000000"/>
      <name val="Calibri"/>
    </font>
    <font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0D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0C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zeSKUTableV2" displayName="SizeSKUTableV2" ref="A1:K161" totalsRowShown="0">
  <autoFilter ref="A1:K161" xr:uid="{00000000-0009-0000-0100-000001000000}"/>
  <tableColumns count="11">
    <tableColumn id="1" xr3:uid="{00000000-0010-0000-0000-000001000000}" name="Design ID"/>
    <tableColumn id="2" xr3:uid="{00000000-0010-0000-0000-000002000000}" name="Product Name"/>
    <tableColumn id="3" xr3:uid="{00000000-0010-0000-0000-000003000000}" name="Colour"/>
    <tableColumn id="4" xr3:uid="{00000000-0010-0000-0000-000004000000}" name="Size" dataDxfId="1"/>
    <tableColumn id="5" xr3:uid="{00000000-0010-0000-0000-000005000000}" name="Full SKU"/>
    <tableColumn id="6" xr3:uid="{00000000-0010-0000-0000-000006000000}" name="Opening Stock"/>
    <tableColumn id="7" xr3:uid="{00000000-0010-0000-0000-000007000000}" name="Reserved"/>
    <tableColumn id="8" xr3:uid="{00000000-0010-0000-0000-000008000000}" name="Available Stock"/>
    <tableColumn id="9" xr3:uid="{00000000-0010-0000-0000-000009000000}" name="Reorder Level" dataDxfId="0"/>
    <tableColumn id="10" xr3:uid="{00000000-0010-0000-0000-00000A000000}" name="Stock Status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zoomScaleSheetLayoutView="100" workbookViewId="0"/>
  </sheetViews>
  <sheetFormatPr defaultRowHeight="15"/>
  <cols>
    <col min="1" max="2" width="32" customWidth="1"/>
  </cols>
  <sheetData>
    <row r="1" spans="1:2">
      <c r="A1" s="1" t="s">
        <v>0</v>
      </c>
      <c r="B1" s="1"/>
    </row>
    <row r="3" spans="1:2">
      <c r="A3" t="s">
        <v>1</v>
      </c>
      <c r="B3">
        <v>40</v>
      </c>
    </row>
    <row r="4" spans="1:2">
      <c r="A4" t="s">
        <v>2</v>
      </c>
      <c r="B4">
        <v>12</v>
      </c>
    </row>
    <row r="5" spans="1:2">
      <c r="A5" t="s">
        <v>3</v>
      </c>
      <c r="B5">
        <v>10</v>
      </c>
    </row>
    <row r="6" spans="1:2">
      <c r="A6" t="s">
        <v>4</v>
      </c>
      <c r="B6">
        <v>8</v>
      </c>
    </row>
    <row r="7" spans="1:2">
      <c r="A7" t="s">
        <v>5</v>
      </c>
      <c r="B7">
        <v>10</v>
      </c>
    </row>
    <row r="9" spans="1:2">
      <c r="A9" t="s">
        <v>6</v>
      </c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"/>
  <sheetViews>
    <sheetView tabSelected="1" zoomScaleNormal="100" zoomScaleSheetLayoutView="100" workbookViewId="0">
      <pane xSplit="4" topLeftCell="E1" activePane="topRight" state="frozen"/>
      <selection pane="topRight" activeCell="E10" sqref="E10"/>
    </sheetView>
  </sheetViews>
  <sheetFormatPr defaultRowHeight="15"/>
  <cols>
    <col min="1" max="1" width="22" customWidth="1"/>
    <col min="2" max="2" width="12" customWidth="1"/>
    <col min="3" max="3" width="16" customWidth="1"/>
    <col min="4" max="4" width="27.7109375" customWidth="1"/>
    <col min="5" max="5" width="12" customWidth="1"/>
    <col min="6" max="6" width="33.140625" customWidth="1"/>
    <col min="7" max="7" width="66.5703125" customWidth="1"/>
    <col min="8" max="8" width="23.140625" customWidth="1"/>
    <col min="9" max="9" width="27" customWidth="1"/>
    <col min="10" max="10" width="12" customWidth="1"/>
    <col min="11" max="11" width="18" customWidth="1"/>
    <col min="12" max="12" width="12" customWidth="1"/>
    <col min="13" max="14" width="16" customWidth="1"/>
    <col min="15" max="15" width="23.7109375" customWidth="1"/>
    <col min="16" max="16" width="13" customWidth="1"/>
    <col min="17" max="19" width="12" customWidth="1"/>
    <col min="20" max="20" width="15" customWidth="1"/>
    <col min="21" max="21" width="14" customWidth="1"/>
    <col min="22" max="22" width="17" customWidth="1"/>
    <col min="23" max="23" width="95.28515625" customWidth="1"/>
  </cols>
  <sheetData>
    <row r="1" spans="1:23" ht="30.7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3">
      <c r="A2" t="s">
        <v>31</v>
      </c>
      <c r="B2" t="s">
        <v>2</v>
      </c>
      <c r="D2" t="s">
        <v>32</v>
      </c>
      <c r="E2" s="2" t="s">
        <v>33</v>
      </c>
      <c r="F2" s="2" t="s">
        <v>34</v>
      </c>
      <c r="G2" s="2" t="s">
        <v>35</v>
      </c>
      <c r="H2" s="3" t="s">
        <v>36</v>
      </c>
      <c r="I2" t="s">
        <v>36</v>
      </c>
      <c r="J2" t="s">
        <v>37</v>
      </c>
      <c r="L2" s="6">
        <v>3449</v>
      </c>
      <c r="M2" t="s">
        <v>38</v>
      </c>
      <c r="N2" t="s">
        <v>39</v>
      </c>
      <c r="O2" t="s">
        <v>40</v>
      </c>
      <c r="W2" t="s">
        <v>41</v>
      </c>
    </row>
    <row r="3" spans="1:23">
      <c r="A3" t="s">
        <v>42</v>
      </c>
      <c r="B3" t="s">
        <v>2</v>
      </c>
      <c r="D3" t="s">
        <v>43</v>
      </c>
      <c r="E3" s="2" t="s">
        <v>33</v>
      </c>
      <c r="F3" s="2" t="s">
        <v>34</v>
      </c>
      <c r="G3" s="2" t="s">
        <v>44</v>
      </c>
      <c r="H3" s="2" t="s">
        <v>45</v>
      </c>
      <c r="I3" t="s">
        <v>45</v>
      </c>
      <c r="J3" t="s">
        <v>37</v>
      </c>
      <c r="L3" s="6">
        <v>3499</v>
      </c>
      <c r="M3" t="s">
        <v>38</v>
      </c>
      <c r="N3" t="s">
        <v>39</v>
      </c>
      <c r="O3" t="s">
        <v>40</v>
      </c>
      <c r="W3" t="s">
        <v>46</v>
      </c>
    </row>
    <row r="4" spans="1:23">
      <c r="A4" t="s">
        <v>47</v>
      </c>
      <c r="B4" t="s">
        <v>2</v>
      </c>
      <c r="D4" t="s">
        <v>48</v>
      </c>
      <c r="E4" s="2" t="s">
        <v>33</v>
      </c>
      <c r="F4" s="2" t="s">
        <v>49</v>
      </c>
      <c r="G4" s="2" t="s">
        <v>50</v>
      </c>
      <c r="H4" s="2" t="s">
        <v>51</v>
      </c>
      <c r="I4" t="s">
        <v>51</v>
      </c>
      <c r="J4" t="s">
        <v>37</v>
      </c>
      <c r="L4" s="6">
        <v>4549</v>
      </c>
      <c r="M4" t="s">
        <v>38</v>
      </c>
      <c r="N4" t="s">
        <v>39</v>
      </c>
      <c r="O4" t="s">
        <v>40</v>
      </c>
      <c r="W4" t="s">
        <v>52</v>
      </c>
    </row>
    <row r="5" spans="1:23">
      <c r="A5" t="s">
        <v>53</v>
      </c>
      <c r="B5" t="s">
        <v>2</v>
      </c>
      <c r="D5" t="s">
        <v>54</v>
      </c>
      <c r="E5" s="2" t="s">
        <v>55</v>
      </c>
      <c r="F5" s="2" t="s">
        <v>49</v>
      </c>
      <c r="G5" s="2" t="s">
        <v>56</v>
      </c>
      <c r="H5" s="2" t="s">
        <v>57</v>
      </c>
      <c r="I5" t="s">
        <v>57</v>
      </c>
      <c r="J5" t="s">
        <v>37</v>
      </c>
      <c r="L5" s="6">
        <v>6899</v>
      </c>
      <c r="M5" t="s">
        <v>38</v>
      </c>
      <c r="N5" t="s">
        <v>39</v>
      </c>
      <c r="O5" t="s">
        <v>40</v>
      </c>
      <c r="W5" t="s">
        <v>58</v>
      </c>
    </row>
    <row r="6" spans="1:23">
      <c r="A6" t="s">
        <v>59</v>
      </c>
      <c r="B6" t="s">
        <v>2</v>
      </c>
      <c r="D6" t="s">
        <v>60</v>
      </c>
      <c r="E6" s="2" t="s">
        <v>33</v>
      </c>
      <c r="F6" s="2" t="s">
        <v>49</v>
      </c>
      <c r="G6" s="2" t="s">
        <v>61</v>
      </c>
      <c r="H6" s="2" t="s">
        <v>62</v>
      </c>
      <c r="I6" t="s">
        <v>62</v>
      </c>
      <c r="J6" t="s">
        <v>37</v>
      </c>
      <c r="L6" s="6">
        <v>3999</v>
      </c>
      <c r="M6" t="s">
        <v>38</v>
      </c>
      <c r="N6" t="s">
        <v>39</v>
      </c>
      <c r="O6" t="s">
        <v>40</v>
      </c>
      <c r="W6" t="s">
        <v>63</v>
      </c>
    </row>
    <row r="7" spans="1:23">
      <c r="A7" t="s">
        <v>64</v>
      </c>
      <c r="B7" t="s">
        <v>2</v>
      </c>
      <c r="D7" t="s">
        <v>65</v>
      </c>
      <c r="E7" s="2" t="s">
        <v>66</v>
      </c>
      <c r="F7" s="2" t="s">
        <v>34</v>
      </c>
      <c r="G7" s="2" t="s">
        <v>67</v>
      </c>
      <c r="H7" s="2" t="s">
        <v>68</v>
      </c>
      <c r="I7" t="s">
        <v>68</v>
      </c>
      <c r="J7" t="s">
        <v>37</v>
      </c>
      <c r="L7" s="6">
        <v>5990</v>
      </c>
      <c r="M7" t="s">
        <v>38</v>
      </c>
      <c r="N7" t="s">
        <v>39</v>
      </c>
      <c r="O7" t="s">
        <v>40</v>
      </c>
      <c r="W7" t="s">
        <v>69</v>
      </c>
    </row>
    <row r="8" spans="1:23">
      <c r="A8" t="s">
        <v>70</v>
      </c>
      <c r="B8" t="s">
        <v>2</v>
      </c>
      <c r="D8" t="s">
        <v>71</v>
      </c>
      <c r="E8" s="2" t="s">
        <v>66</v>
      </c>
      <c r="F8" s="2" t="s">
        <v>49</v>
      </c>
      <c r="G8" s="2" t="s">
        <v>72</v>
      </c>
      <c r="H8" s="2" t="s">
        <v>57</v>
      </c>
      <c r="I8" t="s">
        <v>57</v>
      </c>
      <c r="J8" t="s">
        <v>37</v>
      </c>
      <c r="L8" s="6">
        <v>7590</v>
      </c>
      <c r="M8" t="s">
        <v>38</v>
      </c>
      <c r="N8" t="s">
        <v>39</v>
      </c>
      <c r="O8" t="s">
        <v>40</v>
      </c>
      <c r="W8" t="s">
        <v>73</v>
      </c>
    </row>
    <row r="9" spans="1:23">
      <c r="A9" t="s">
        <v>74</v>
      </c>
      <c r="B9" t="s">
        <v>2</v>
      </c>
      <c r="D9" t="s">
        <v>75</v>
      </c>
      <c r="E9" s="2" t="s">
        <v>33</v>
      </c>
      <c r="F9" s="2" t="s">
        <v>76</v>
      </c>
      <c r="G9" s="2" t="s">
        <v>77</v>
      </c>
      <c r="H9" s="2" t="s">
        <v>78</v>
      </c>
      <c r="I9" t="s">
        <v>78</v>
      </c>
      <c r="J9" t="s">
        <v>37</v>
      </c>
      <c r="L9" s="6">
        <v>3999</v>
      </c>
      <c r="M9" t="s">
        <v>38</v>
      </c>
      <c r="N9" t="s">
        <v>39</v>
      </c>
      <c r="O9" t="s">
        <v>40</v>
      </c>
      <c r="W9" t="s">
        <v>79</v>
      </c>
    </row>
    <row r="10" spans="1:23">
      <c r="A10" t="s">
        <v>80</v>
      </c>
      <c r="B10" t="s">
        <v>2</v>
      </c>
      <c r="D10" t="s">
        <v>81</v>
      </c>
      <c r="E10" s="2" t="s">
        <v>33</v>
      </c>
      <c r="F10" s="2" t="s">
        <v>49</v>
      </c>
      <c r="G10" s="2" t="s">
        <v>82</v>
      </c>
      <c r="H10" s="2" t="s">
        <v>45</v>
      </c>
      <c r="I10" t="s">
        <v>45</v>
      </c>
      <c r="J10" t="s">
        <v>37</v>
      </c>
      <c r="L10" s="6">
        <v>5499</v>
      </c>
      <c r="M10" t="s">
        <v>38</v>
      </c>
      <c r="N10" t="s">
        <v>39</v>
      </c>
      <c r="O10" t="s">
        <v>40</v>
      </c>
      <c r="W10" t="s">
        <v>83</v>
      </c>
    </row>
    <row r="11" spans="1:23">
      <c r="A11" t="s">
        <v>84</v>
      </c>
      <c r="B11" t="s">
        <v>2</v>
      </c>
      <c r="D11" t="s">
        <v>85</v>
      </c>
      <c r="E11" s="2" t="s">
        <v>66</v>
      </c>
      <c r="F11" s="2" t="s">
        <v>34</v>
      </c>
      <c r="G11" s="2" t="s">
        <v>86</v>
      </c>
      <c r="H11" s="2" t="s">
        <v>87</v>
      </c>
      <c r="I11" t="s">
        <v>87</v>
      </c>
      <c r="J11" t="s">
        <v>37</v>
      </c>
      <c r="L11" s="6">
        <v>3990</v>
      </c>
      <c r="M11" t="s">
        <v>38</v>
      </c>
      <c r="N11" t="s">
        <v>39</v>
      </c>
      <c r="O11" t="s">
        <v>40</v>
      </c>
      <c r="W11" t="s">
        <v>88</v>
      </c>
    </row>
    <row r="12" spans="1:23">
      <c r="A12" t="s">
        <v>89</v>
      </c>
      <c r="B12" t="s">
        <v>2</v>
      </c>
      <c r="D12" t="s">
        <v>90</v>
      </c>
      <c r="E12" s="2" t="s">
        <v>91</v>
      </c>
      <c r="F12" s="2" t="s">
        <v>92</v>
      </c>
      <c r="G12" s="2" t="s">
        <v>93</v>
      </c>
      <c r="H12" s="2" t="s">
        <v>62</v>
      </c>
      <c r="I12" t="s">
        <v>62</v>
      </c>
      <c r="J12" t="s">
        <v>37</v>
      </c>
      <c r="L12" s="6">
        <v>3904</v>
      </c>
      <c r="M12" t="s">
        <v>38</v>
      </c>
      <c r="N12" t="s">
        <v>39</v>
      </c>
      <c r="O12" t="s">
        <v>40</v>
      </c>
      <c r="W12" t="s">
        <v>94</v>
      </c>
    </row>
    <row r="13" spans="1:23">
      <c r="A13" t="s">
        <v>95</v>
      </c>
      <c r="B13" t="s">
        <v>2</v>
      </c>
      <c r="D13" t="s">
        <v>96</v>
      </c>
      <c r="E13" s="2" t="s">
        <v>66</v>
      </c>
      <c r="F13" s="2" t="s">
        <v>97</v>
      </c>
      <c r="G13" s="2" t="s">
        <v>98</v>
      </c>
      <c r="H13" s="2" t="s">
        <v>57</v>
      </c>
      <c r="I13" t="s">
        <v>57</v>
      </c>
      <c r="J13" t="s">
        <v>37</v>
      </c>
      <c r="L13" s="6">
        <v>12090</v>
      </c>
      <c r="M13" t="s">
        <v>38</v>
      </c>
      <c r="N13" t="s">
        <v>39</v>
      </c>
      <c r="O13" t="s">
        <v>40</v>
      </c>
      <c r="W13" t="s">
        <v>99</v>
      </c>
    </row>
    <row r="14" spans="1:23">
      <c r="A14" t="s">
        <v>100</v>
      </c>
      <c r="B14" t="s">
        <v>3</v>
      </c>
      <c r="D14" t="s">
        <v>101</v>
      </c>
      <c r="E14" s="2" t="s">
        <v>33</v>
      </c>
      <c r="F14" s="2" t="s">
        <v>102</v>
      </c>
      <c r="G14" t="s">
        <v>103</v>
      </c>
      <c r="H14" t="s">
        <v>36</v>
      </c>
      <c r="I14" t="s">
        <v>36</v>
      </c>
      <c r="J14" t="s">
        <v>37</v>
      </c>
      <c r="L14" s="6">
        <v>9900</v>
      </c>
      <c r="M14" t="s">
        <v>38</v>
      </c>
      <c r="N14" t="s">
        <v>39</v>
      </c>
      <c r="O14" t="s">
        <v>40</v>
      </c>
      <c r="W14" t="s">
        <v>104</v>
      </c>
    </row>
    <row r="15" spans="1:23">
      <c r="A15" t="s">
        <v>105</v>
      </c>
      <c r="B15" t="s">
        <v>3</v>
      </c>
      <c r="D15" t="s">
        <v>106</v>
      </c>
      <c r="E15" s="2" t="s">
        <v>33</v>
      </c>
      <c r="F15" s="2" t="s">
        <v>107</v>
      </c>
      <c r="G15" t="s">
        <v>108</v>
      </c>
      <c r="H15" t="s">
        <v>109</v>
      </c>
      <c r="I15" t="s">
        <v>109</v>
      </c>
      <c r="J15" t="s">
        <v>37</v>
      </c>
      <c r="L15" s="6">
        <v>8995</v>
      </c>
      <c r="M15" t="s">
        <v>38</v>
      </c>
      <c r="N15" t="s">
        <v>39</v>
      </c>
      <c r="O15" t="s">
        <v>40</v>
      </c>
      <c r="W15" t="s">
        <v>104</v>
      </c>
    </row>
    <row r="16" spans="1:23">
      <c r="A16" t="s">
        <v>110</v>
      </c>
      <c r="B16" t="s">
        <v>3</v>
      </c>
      <c r="D16" t="s">
        <v>111</v>
      </c>
      <c r="E16" s="2" t="s">
        <v>33</v>
      </c>
      <c r="F16" s="2" t="s">
        <v>34</v>
      </c>
      <c r="G16" t="s">
        <v>112</v>
      </c>
      <c r="H16" t="s">
        <v>62</v>
      </c>
      <c r="I16" t="s">
        <v>62</v>
      </c>
      <c r="J16" t="s">
        <v>37</v>
      </c>
      <c r="L16" s="6">
        <v>8990</v>
      </c>
      <c r="M16" t="s">
        <v>38</v>
      </c>
      <c r="N16" t="s">
        <v>39</v>
      </c>
      <c r="O16" t="s">
        <v>40</v>
      </c>
      <c r="W16" t="s">
        <v>113</v>
      </c>
    </row>
    <row r="17" spans="1:23">
      <c r="A17" t="s">
        <v>114</v>
      </c>
      <c r="B17" t="s">
        <v>3</v>
      </c>
      <c r="D17" t="s">
        <v>115</v>
      </c>
      <c r="E17" s="2" t="s">
        <v>66</v>
      </c>
      <c r="F17" s="2" t="s">
        <v>34</v>
      </c>
      <c r="G17" t="s">
        <v>116</v>
      </c>
      <c r="H17" t="s">
        <v>117</v>
      </c>
      <c r="I17" t="s">
        <v>117</v>
      </c>
      <c r="J17" t="s">
        <v>37</v>
      </c>
      <c r="L17" s="6">
        <v>14449</v>
      </c>
      <c r="M17" t="s">
        <v>38</v>
      </c>
      <c r="N17" t="s">
        <v>39</v>
      </c>
      <c r="O17" t="s">
        <v>40</v>
      </c>
      <c r="W17" t="s">
        <v>118</v>
      </c>
    </row>
    <row r="18" spans="1:23">
      <c r="A18" t="s">
        <v>119</v>
      </c>
      <c r="B18" t="s">
        <v>3</v>
      </c>
      <c r="D18" t="s">
        <v>120</v>
      </c>
      <c r="E18" s="2" t="s">
        <v>33</v>
      </c>
      <c r="F18" s="2" t="s">
        <v>121</v>
      </c>
      <c r="G18" t="s">
        <v>122</v>
      </c>
      <c r="H18" t="s">
        <v>123</v>
      </c>
      <c r="I18" t="s">
        <v>124</v>
      </c>
      <c r="J18" t="s">
        <v>37</v>
      </c>
      <c r="L18" s="6">
        <v>6990</v>
      </c>
      <c r="M18" t="s">
        <v>38</v>
      </c>
      <c r="N18" t="s">
        <v>39</v>
      </c>
      <c r="O18" t="s">
        <v>40</v>
      </c>
      <c r="W18" t="s">
        <v>125</v>
      </c>
    </row>
    <row r="19" spans="1:23">
      <c r="A19" t="s">
        <v>126</v>
      </c>
      <c r="B19" t="s">
        <v>3</v>
      </c>
      <c r="D19" t="s">
        <v>127</v>
      </c>
      <c r="E19" s="2" t="s">
        <v>66</v>
      </c>
      <c r="F19" s="2" t="s">
        <v>49</v>
      </c>
      <c r="G19" t="s">
        <v>128</v>
      </c>
      <c r="H19" t="s">
        <v>129</v>
      </c>
      <c r="I19" t="s">
        <v>129</v>
      </c>
      <c r="J19" t="s">
        <v>37</v>
      </c>
      <c r="L19" s="6">
        <v>18090</v>
      </c>
      <c r="M19" t="s">
        <v>38</v>
      </c>
      <c r="N19" t="s">
        <v>39</v>
      </c>
      <c r="O19" t="s">
        <v>40</v>
      </c>
      <c r="W19" t="s">
        <v>130</v>
      </c>
    </row>
    <row r="20" spans="1:23">
      <c r="A20" t="s">
        <v>131</v>
      </c>
      <c r="B20" t="s">
        <v>3</v>
      </c>
      <c r="D20" t="s">
        <v>132</v>
      </c>
      <c r="E20" s="2" t="s">
        <v>66</v>
      </c>
      <c r="F20" s="2" t="s">
        <v>76</v>
      </c>
      <c r="G20" t="s">
        <v>133</v>
      </c>
      <c r="H20" t="s">
        <v>68</v>
      </c>
      <c r="I20" t="s">
        <v>68</v>
      </c>
      <c r="J20" t="s">
        <v>37</v>
      </c>
      <c r="L20" s="6">
        <v>12999</v>
      </c>
      <c r="M20" t="s">
        <v>38</v>
      </c>
      <c r="N20" t="s">
        <v>39</v>
      </c>
      <c r="O20" t="s">
        <v>40</v>
      </c>
      <c r="W20" t="s">
        <v>134</v>
      </c>
    </row>
    <row r="21" spans="1:23">
      <c r="A21" t="s">
        <v>135</v>
      </c>
      <c r="B21" t="s">
        <v>3</v>
      </c>
      <c r="D21" t="s">
        <v>136</v>
      </c>
      <c r="E21" s="2" t="s">
        <v>66</v>
      </c>
      <c r="F21" s="2" t="s">
        <v>49</v>
      </c>
      <c r="G21" t="s">
        <v>137</v>
      </c>
      <c r="H21" t="s">
        <v>78</v>
      </c>
      <c r="I21" t="s">
        <v>78</v>
      </c>
      <c r="J21" t="s">
        <v>37</v>
      </c>
      <c r="L21" s="6">
        <v>25000</v>
      </c>
      <c r="M21" t="s">
        <v>38</v>
      </c>
      <c r="N21" t="s">
        <v>39</v>
      </c>
      <c r="O21" t="s">
        <v>40</v>
      </c>
      <c r="W21" t="s">
        <v>138</v>
      </c>
    </row>
    <row r="22" spans="1:23">
      <c r="A22" t="s">
        <v>139</v>
      </c>
      <c r="B22" t="s">
        <v>3</v>
      </c>
      <c r="D22" t="s">
        <v>140</v>
      </c>
      <c r="E22" s="2" t="s">
        <v>66</v>
      </c>
      <c r="F22" s="2" t="s">
        <v>49</v>
      </c>
      <c r="G22" t="s">
        <v>141</v>
      </c>
      <c r="H22" t="s">
        <v>142</v>
      </c>
      <c r="I22" t="s">
        <v>142</v>
      </c>
      <c r="J22" t="s">
        <v>37</v>
      </c>
      <c r="L22" s="6">
        <v>20000</v>
      </c>
      <c r="M22" t="s">
        <v>38</v>
      </c>
      <c r="N22" t="s">
        <v>39</v>
      </c>
      <c r="O22" t="s">
        <v>40</v>
      </c>
      <c r="W22" t="s">
        <v>143</v>
      </c>
    </row>
    <row r="23" spans="1:23">
      <c r="A23" t="s">
        <v>144</v>
      </c>
      <c r="B23" t="s">
        <v>3</v>
      </c>
      <c r="D23" t="s">
        <v>145</v>
      </c>
      <c r="E23" t="s">
        <v>91</v>
      </c>
      <c r="F23" s="2" t="s">
        <v>34</v>
      </c>
      <c r="G23" t="s">
        <v>146</v>
      </c>
      <c r="H23" t="s">
        <v>147</v>
      </c>
      <c r="I23" t="s">
        <v>147</v>
      </c>
      <c r="J23" t="s">
        <v>37</v>
      </c>
      <c r="L23" s="6">
        <v>18000</v>
      </c>
      <c r="M23" t="s">
        <v>38</v>
      </c>
      <c r="N23" t="s">
        <v>39</v>
      </c>
      <c r="O23" t="s">
        <v>40</v>
      </c>
      <c r="W23" t="s">
        <v>148</v>
      </c>
    </row>
    <row r="24" spans="1:23">
      <c r="A24" t="s">
        <v>149</v>
      </c>
      <c r="B24" t="s">
        <v>4</v>
      </c>
      <c r="D24" t="s">
        <v>150</v>
      </c>
      <c r="E24" t="s">
        <v>33</v>
      </c>
      <c r="F24" t="s">
        <v>34</v>
      </c>
      <c r="G24" t="s">
        <v>151</v>
      </c>
      <c r="H24" t="s">
        <v>152</v>
      </c>
      <c r="I24" t="s">
        <v>152</v>
      </c>
      <c r="J24" t="s">
        <v>37</v>
      </c>
      <c r="L24" s="6">
        <v>25000</v>
      </c>
      <c r="M24" t="s">
        <v>38</v>
      </c>
      <c r="N24" t="s">
        <v>39</v>
      </c>
      <c r="O24" t="s">
        <v>40</v>
      </c>
      <c r="W24" t="s">
        <v>153</v>
      </c>
    </row>
    <row r="25" spans="1:23">
      <c r="A25" t="s">
        <v>154</v>
      </c>
      <c r="B25" t="s">
        <v>4</v>
      </c>
      <c r="D25" t="s">
        <v>155</v>
      </c>
      <c r="E25" t="s">
        <v>66</v>
      </c>
      <c r="F25" t="s">
        <v>49</v>
      </c>
      <c r="G25" t="s">
        <v>156</v>
      </c>
      <c r="H25" t="s">
        <v>157</v>
      </c>
      <c r="I25" t="s">
        <v>157</v>
      </c>
      <c r="J25" t="s">
        <v>37</v>
      </c>
      <c r="L25" s="6">
        <v>28000</v>
      </c>
      <c r="M25" t="s">
        <v>38</v>
      </c>
      <c r="N25" t="s">
        <v>39</v>
      </c>
      <c r="O25" t="s">
        <v>40</v>
      </c>
      <c r="W25" t="s">
        <v>158</v>
      </c>
    </row>
    <row r="26" spans="1:23">
      <c r="A26" t="s">
        <v>159</v>
      </c>
      <c r="B26" t="s">
        <v>4</v>
      </c>
      <c r="D26" t="s">
        <v>160</v>
      </c>
      <c r="E26" t="s">
        <v>66</v>
      </c>
      <c r="F26" t="s">
        <v>49</v>
      </c>
      <c r="G26" t="s">
        <v>161</v>
      </c>
      <c r="H26" t="s">
        <v>162</v>
      </c>
      <c r="I26" t="s">
        <v>163</v>
      </c>
      <c r="J26" t="s">
        <v>37</v>
      </c>
      <c r="L26" s="6">
        <v>27000</v>
      </c>
      <c r="M26" t="s">
        <v>38</v>
      </c>
      <c r="N26" t="s">
        <v>39</v>
      </c>
      <c r="O26" t="s">
        <v>40</v>
      </c>
      <c r="W26" t="s">
        <v>164</v>
      </c>
    </row>
    <row r="27" spans="1:23">
      <c r="A27" t="s">
        <v>165</v>
      </c>
      <c r="B27" t="s">
        <v>4</v>
      </c>
      <c r="D27" t="s">
        <v>166</v>
      </c>
      <c r="E27" t="s">
        <v>66</v>
      </c>
      <c r="F27" t="s">
        <v>49</v>
      </c>
      <c r="G27" t="s">
        <v>167</v>
      </c>
      <c r="H27" t="s">
        <v>147</v>
      </c>
      <c r="I27" t="s">
        <v>147</v>
      </c>
      <c r="J27" t="s">
        <v>37</v>
      </c>
      <c r="L27" s="6">
        <v>35000</v>
      </c>
      <c r="M27" t="s">
        <v>38</v>
      </c>
      <c r="N27" t="s">
        <v>39</v>
      </c>
      <c r="O27" t="s">
        <v>40</v>
      </c>
      <c r="W27" t="s">
        <v>168</v>
      </c>
    </row>
    <row r="28" spans="1:23">
      <c r="A28" t="s">
        <v>169</v>
      </c>
      <c r="B28" t="s">
        <v>4</v>
      </c>
      <c r="D28" t="s">
        <v>170</v>
      </c>
      <c r="E28" t="s">
        <v>91</v>
      </c>
      <c r="F28" t="s">
        <v>49</v>
      </c>
      <c r="G28" t="s">
        <v>171</v>
      </c>
      <c r="H28" t="s">
        <v>172</v>
      </c>
      <c r="I28" t="s">
        <v>173</v>
      </c>
      <c r="J28" t="s">
        <v>37</v>
      </c>
      <c r="L28" s="6">
        <v>29000</v>
      </c>
      <c r="M28" t="s">
        <v>38</v>
      </c>
      <c r="N28" t="s">
        <v>39</v>
      </c>
      <c r="O28" t="s">
        <v>40</v>
      </c>
      <c r="W28" t="s">
        <v>174</v>
      </c>
    </row>
    <row r="29" spans="1:23">
      <c r="A29" t="s">
        <v>175</v>
      </c>
      <c r="B29" t="s">
        <v>4</v>
      </c>
      <c r="D29" t="s">
        <v>176</v>
      </c>
      <c r="E29" t="s">
        <v>66</v>
      </c>
      <c r="F29" t="s">
        <v>177</v>
      </c>
      <c r="G29" t="s">
        <v>178</v>
      </c>
      <c r="H29" t="s">
        <v>142</v>
      </c>
      <c r="I29" t="s">
        <v>142</v>
      </c>
      <c r="J29" t="s">
        <v>37</v>
      </c>
      <c r="L29" s="6">
        <v>19000</v>
      </c>
      <c r="M29" t="s">
        <v>38</v>
      </c>
      <c r="N29" t="s">
        <v>39</v>
      </c>
      <c r="O29" t="s">
        <v>40</v>
      </c>
      <c r="W29" t="s">
        <v>179</v>
      </c>
    </row>
    <row r="30" spans="1:23">
      <c r="A30" t="s">
        <v>180</v>
      </c>
      <c r="B30" t="s">
        <v>4</v>
      </c>
      <c r="D30" t="s">
        <v>181</v>
      </c>
      <c r="E30" t="s">
        <v>66</v>
      </c>
      <c r="F30" t="s">
        <v>49</v>
      </c>
      <c r="G30" t="s">
        <v>182</v>
      </c>
      <c r="H30" t="s">
        <v>183</v>
      </c>
      <c r="I30" t="s">
        <v>184</v>
      </c>
      <c r="J30" t="s">
        <v>37</v>
      </c>
      <c r="L30" s="6">
        <v>14000</v>
      </c>
      <c r="M30" t="s">
        <v>38</v>
      </c>
      <c r="N30" t="s">
        <v>39</v>
      </c>
      <c r="O30" t="s">
        <v>40</v>
      </c>
      <c r="W30" t="s">
        <v>185</v>
      </c>
    </row>
    <row r="31" spans="1:23">
      <c r="A31" t="s">
        <v>186</v>
      </c>
      <c r="B31" t="s">
        <v>4</v>
      </c>
      <c r="D31" t="s">
        <v>187</v>
      </c>
      <c r="E31" t="s">
        <v>91</v>
      </c>
      <c r="F31" t="s">
        <v>121</v>
      </c>
      <c r="G31" t="s">
        <v>188</v>
      </c>
      <c r="H31" t="s">
        <v>189</v>
      </c>
      <c r="I31" t="s">
        <v>190</v>
      </c>
      <c r="J31" t="s">
        <v>37</v>
      </c>
      <c r="L31" s="6">
        <v>9000</v>
      </c>
      <c r="M31" t="s">
        <v>38</v>
      </c>
      <c r="N31" t="s">
        <v>39</v>
      </c>
      <c r="O31" t="s">
        <v>40</v>
      </c>
      <c r="W31" t="s">
        <v>174</v>
      </c>
    </row>
    <row r="32" spans="1:23">
      <c r="A32" t="s">
        <v>191</v>
      </c>
      <c r="B32" t="s">
        <v>5</v>
      </c>
      <c r="D32" t="s">
        <v>192</v>
      </c>
      <c r="E32" t="s">
        <v>91</v>
      </c>
      <c r="F32" t="s">
        <v>34</v>
      </c>
      <c r="G32" t="s">
        <v>193</v>
      </c>
      <c r="H32" t="s">
        <v>194</v>
      </c>
      <c r="I32" t="s">
        <v>194</v>
      </c>
      <c r="J32" t="s">
        <v>37</v>
      </c>
      <c r="L32" s="6">
        <v>13000</v>
      </c>
      <c r="M32" t="s">
        <v>38</v>
      </c>
      <c r="N32" t="s">
        <v>39</v>
      </c>
      <c r="O32" t="s">
        <v>40</v>
      </c>
      <c r="W32" t="s">
        <v>195</v>
      </c>
    </row>
    <row r="33" spans="1:23">
      <c r="A33" t="s">
        <v>196</v>
      </c>
      <c r="B33" t="s">
        <v>5</v>
      </c>
      <c r="D33" t="s">
        <v>197</v>
      </c>
      <c r="E33" t="s">
        <v>66</v>
      </c>
      <c r="F33" t="s">
        <v>49</v>
      </c>
      <c r="G33" t="s">
        <v>198</v>
      </c>
      <c r="H33" t="s">
        <v>199</v>
      </c>
      <c r="I33" t="s">
        <v>199</v>
      </c>
      <c r="J33" t="s">
        <v>37</v>
      </c>
      <c r="L33" s="6">
        <v>35000</v>
      </c>
      <c r="M33" t="s">
        <v>38</v>
      </c>
      <c r="N33" t="s">
        <v>39</v>
      </c>
      <c r="O33" t="s">
        <v>40</v>
      </c>
      <c r="W33" t="s">
        <v>200</v>
      </c>
    </row>
    <row r="34" spans="1:23">
      <c r="A34" t="s">
        <v>201</v>
      </c>
      <c r="B34" t="s">
        <v>5</v>
      </c>
      <c r="D34" t="s">
        <v>202</v>
      </c>
      <c r="E34" t="s">
        <v>66</v>
      </c>
      <c r="F34" t="s">
        <v>34</v>
      </c>
      <c r="G34" t="s">
        <v>203</v>
      </c>
      <c r="H34" t="s">
        <v>204</v>
      </c>
      <c r="I34" t="s">
        <v>204</v>
      </c>
      <c r="J34" t="s">
        <v>37</v>
      </c>
      <c r="L34" s="6">
        <v>22000</v>
      </c>
      <c r="M34" t="s">
        <v>38</v>
      </c>
      <c r="N34" t="s">
        <v>39</v>
      </c>
      <c r="O34" t="s">
        <v>40</v>
      </c>
      <c r="W34" t="s">
        <v>205</v>
      </c>
    </row>
    <row r="35" spans="1:23">
      <c r="A35" t="s">
        <v>206</v>
      </c>
      <c r="B35" t="s">
        <v>5</v>
      </c>
      <c r="D35" t="s">
        <v>207</v>
      </c>
      <c r="E35" t="s">
        <v>91</v>
      </c>
      <c r="F35" t="s">
        <v>49</v>
      </c>
      <c r="G35" t="s">
        <v>208</v>
      </c>
      <c r="H35" t="s">
        <v>209</v>
      </c>
      <c r="I35" t="s">
        <v>209</v>
      </c>
      <c r="J35" t="s">
        <v>37</v>
      </c>
      <c r="L35" s="6">
        <v>32000</v>
      </c>
      <c r="M35" t="s">
        <v>38</v>
      </c>
      <c r="N35" t="s">
        <v>39</v>
      </c>
      <c r="O35" t="s">
        <v>40</v>
      </c>
      <c r="W35" t="s">
        <v>210</v>
      </c>
    </row>
    <row r="36" spans="1:23">
      <c r="A36" t="s">
        <v>211</v>
      </c>
      <c r="B36" t="s">
        <v>5</v>
      </c>
      <c r="D36" t="s">
        <v>212</v>
      </c>
      <c r="E36" t="s">
        <v>33</v>
      </c>
      <c r="F36" t="s">
        <v>49</v>
      </c>
      <c r="G36" t="s">
        <v>213</v>
      </c>
      <c r="H36" t="s">
        <v>214</v>
      </c>
      <c r="I36" t="s">
        <v>214</v>
      </c>
      <c r="J36" t="s">
        <v>37</v>
      </c>
      <c r="L36" s="6">
        <v>8000</v>
      </c>
      <c r="M36" t="s">
        <v>38</v>
      </c>
      <c r="N36" t="s">
        <v>39</v>
      </c>
      <c r="O36" t="s">
        <v>40</v>
      </c>
      <c r="W36" t="s">
        <v>215</v>
      </c>
    </row>
    <row r="37" spans="1:23">
      <c r="A37" t="s">
        <v>216</v>
      </c>
      <c r="B37" t="s">
        <v>5</v>
      </c>
      <c r="D37" t="s">
        <v>217</v>
      </c>
      <c r="E37" t="s">
        <v>218</v>
      </c>
      <c r="F37" t="s">
        <v>49</v>
      </c>
      <c r="G37" t="s">
        <v>219</v>
      </c>
      <c r="H37" t="s">
        <v>220</v>
      </c>
      <c r="I37" t="s">
        <v>220</v>
      </c>
      <c r="J37" t="s">
        <v>37</v>
      </c>
      <c r="L37" s="6">
        <v>34000</v>
      </c>
      <c r="M37" t="s">
        <v>38</v>
      </c>
      <c r="N37" t="s">
        <v>39</v>
      </c>
      <c r="O37" t="s">
        <v>40</v>
      </c>
      <c r="W37" t="s">
        <v>221</v>
      </c>
    </row>
    <row r="38" spans="1:23">
      <c r="A38" t="s">
        <v>222</v>
      </c>
      <c r="B38" t="s">
        <v>5</v>
      </c>
      <c r="D38" t="s">
        <v>223</v>
      </c>
      <c r="E38" t="s">
        <v>66</v>
      </c>
      <c r="F38" t="s">
        <v>224</v>
      </c>
      <c r="G38" t="s">
        <v>225</v>
      </c>
      <c r="H38" t="s">
        <v>45</v>
      </c>
      <c r="I38" t="s">
        <v>226</v>
      </c>
      <c r="J38" t="s">
        <v>37</v>
      </c>
      <c r="L38" s="6">
        <v>23000</v>
      </c>
      <c r="M38" t="s">
        <v>38</v>
      </c>
      <c r="N38" t="s">
        <v>39</v>
      </c>
      <c r="O38" t="s">
        <v>40</v>
      </c>
      <c r="W38" t="s">
        <v>227</v>
      </c>
    </row>
    <row r="39" spans="1:23">
      <c r="A39" t="s">
        <v>228</v>
      </c>
      <c r="B39" t="s">
        <v>5</v>
      </c>
      <c r="D39" t="s">
        <v>229</v>
      </c>
      <c r="E39" t="s">
        <v>66</v>
      </c>
      <c r="F39" t="s">
        <v>49</v>
      </c>
      <c r="G39" t="s">
        <v>230</v>
      </c>
      <c r="H39" t="s">
        <v>57</v>
      </c>
      <c r="I39" t="s">
        <v>57</v>
      </c>
      <c r="J39" t="s">
        <v>37</v>
      </c>
      <c r="L39" s="6">
        <v>34000</v>
      </c>
      <c r="M39" t="s">
        <v>38</v>
      </c>
      <c r="N39" t="s">
        <v>39</v>
      </c>
      <c r="O39" t="s">
        <v>40</v>
      </c>
      <c r="W39" t="s">
        <v>231</v>
      </c>
    </row>
    <row r="40" spans="1:23">
      <c r="A40" t="s">
        <v>232</v>
      </c>
      <c r="B40" t="s">
        <v>5</v>
      </c>
      <c r="D40" t="s">
        <v>233</v>
      </c>
      <c r="E40" t="s">
        <v>33</v>
      </c>
      <c r="F40" t="s">
        <v>49</v>
      </c>
      <c r="G40" t="s">
        <v>234</v>
      </c>
      <c r="H40" t="s">
        <v>235</v>
      </c>
      <c r="I40" t="s">
        <v>236</v>
      </c>
      <c r="J40" t="s">
        <v>37</v>
      </c>
      <c r="L40" s="6">
        <v>13000</v>
      </c>
      <c r="M40" t="s">
        <v>38</v>
      </c>
      <c r="N40" t="s">
        <v>39</v>
      </c>
      <c r="O40" t="s">
        <v>40</v>
      </c>
      <c r="W40" t="s">
        <v>237</v>
      </c>
    </row>
    <row r="41" spans="1:23">
      <c r="A41" t="s">
        <v>238</v>
      </c>
      <c r="B41" t="s">
        <v>5</v>
      </c>
      <c r="D41" t="s">
        <v>239</v>
      </c>
      <c r="E41" t="s">
        <v>66</v>
      </c>
      <c r="F41" t="s">
        <v>34</v>
      </c>
      <c r="G41" t="s">
        <v>240</v>
      </c>
      <c r="H41" t="s">
        <v>241</v>
      </c>
      <c r="I41" t="s">
        <v>241</v>
      </c>
      <c r="J41" t="s">
        <v>37</v>
      </c>
      <c r="L41" s="6">
        <v>30000</v>
      </c>
      <c r="M41" t="s">
        <v>38</v>
      </c>
      <c r="N41" t="s">
        <v>39</v>
      </c>
      <c r="O41" t="s">
        <v>40</v>
      </c>
      <c r="W41" t="s">
        <v>242</v>
      </c>
    </row>
  </sheetData>
  <dataValidations count="3">
    <dataValidation type="list" allowBlank="1" sqref="M2:M200" xr:uid="{00000000-0002-0000-0100-000000000000}">
      <formula1>"Draft,Live,Archived"</formula1>
    </dataValidation>
    <dataValidation type="list" allowBlank="1" sqref="N2:N200" xr:uid="{00000000-0002-0000-0100-000001000000}">
      <formula1>"Design Pending,Design Approved,Revision Required,Final"</formula1>
    </dataValidation>
    <dataValidation type="list" allowBlank="1" sqref="O2:O200" xr:uid="{00000000-0002-0000-0100-000002000000}">
      <formula1>"Pending,In Progress,Ready,Approved"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1"/>
  <sheetViews>
    <sheetView zoomScaleNormal="100" zoomScaleSheetLayoutView="100" workbookViewId="0">
      <selection activeCell="N12" sqref="N12"/>
    </sheetView>
  </sheetViews>
  <sheetFormatPr defaultRowHeight="15"/>
  <cols>
    <col min="1" max="1" width="12" customWidth="1"/>
    <col min="2" max="2" width="26.85546875" customWidth="1"/>
    <col min="3" max="3" width="32" customWidth="1"/>
    <col min="4" max="4" width="12" style="6" customWidth="1"/>
    <col min="5" max="5" width="19.140625" customWidth="1"/>
    <col min="6" max="6" width="15" customWidth="1"/>
    <col min="7" max="7" width="12" customWidth="1"/>
    <col min="8" max="8" width="17" customWidth="1"/>
    <col min="9" max="9" width="15" style="6" customWidth="1"/>
    <col min="10" max="10" width="14" customWidth="1"/>
    <col min="11" max="11" width="12" customWidth="1"/>
  </cols>
  <sheetData>
    <row r="1" spans="1:11">
      <c r="A1" s="1" t="s">
        <v>243</v>
      </c>
      <c r="B1" s="1" t="s">
        <v>11</v>
      </c>
      <c r="C1" s="1" t="s">
        <v>244</v>
      </c>
      <c r="D1" s="7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7" t="s">
        <v>250</v>
      </c>
      <c r="J1" s="1" t="s">
        <v>251</v>
      </c>
      <c r="K1" s="1" t="s">
        <v>252</v>
      </c>
    </row>
    <row r="2" spans="1:11">
      <c r="A2" t="s">
        <v>31</v>
      </c>
      <c r="B2" t="s">
        <v>32</v>
      </c>
      <c r="C2" t="s">
        <v>36</v>
      </c>
      <c r="D2" s="6">
        <v>38</v>
      </c>
      <c r="E2" t="str">
        <f>A2&amp;"-"&amp;UPPER(LEFT(SUBSTITUTE(C2," ",""),2))&amp;"-"&amp;D2</f>
        <v>FA-01-WA-38</v>
      </c>
      <c r="H2" t="str">
        <f>IF(OR(F2="",G2=""),"",MAX(0,F2-G2))</f>
        <v/>
      </c>
      <c r="I2" s="6">
        <v>2</v>
      </c>
      <c r="J2" t="str">
        <f>IF(H2="","Not Set",IF(H2=0,"Out of Stock",IF(H2&lt;=I2,"Low Stock","In Stock")))</f>
        <v>Not Set</v>
      </c>
    </row>
    <row r="3" spans="1:11">
      <c r="A3" t="s">
        <v>31</v>
      </c>
      <c r="B3" t="s">
        <v>32</v>
      </c>
      <c r="C3" t="s">
        <v>36</v>
      </c>
      <c r="D3" s="6">
        <v>39</v>
      </c>
      <c r="E3" t="str">
        <f>A3&amp;"-"&amp;UPPER(LEFT(SUBSTITUTE(C3," ",""),2))&amp;"-"&amp;D3</f>
        <v>FA-01-WA-39</v>
      </c>
      <c r="H3" t="str">
        <f>IF(OR(F3="",G3=""),"",MAX(0,F3-G3))</f>
        <v/>
      </c>
      <c r="I3" s="6">
        <v>2</v>
      </c>
      <c r="J3" t="str">
        <f>IF(H3="","Not Set",IF(H3=0,"Out of Stock",IF(H3&lt;=I3,"Low Stock","In Stock")))</f>
        <v>Not Set</v>
      </c>
    </row>
    <row r="4" spans="1:11">
      <c r="A4" t="s">
        <v>31</v>
      </c>
      <c r="B4" t="s">
        <v>32</v>
      </c>
      <c r="C4" t="s">
        <v>36</v>
      </c>
      <c r="D4" s="6">
        <v>40</v>
      </c>
      <c r="E4" t="str">
        <f>A4&amp;"-"&amp;UPPER(LEFT(SUBSTITUTE(C4," ",""),2))&amp;"-"&amp;D4</f>
        <v>FA-01-WA-40</v>
      </c>
      <c r="H4" t="str">
        <f>IF(OR(F4="",G4=""),"",MAX(0,F4-G4))</f>
        <v/>
      </c>
      <c r="I4" s="6">
        <v>2</v>
      </c>
      <c r="J4" t="str">
        <f>IF(H4="","Not Set",IF(H4=0,"Out of Stock",IF(H4&lt;=I4,"Low Stock","In Stock")))</f>
        <v>Not Set</v>
      </c>
    </row>
    <row r="5" spans="1:11">
      <c r="A5" t="s">
        <v>31</v>
      </c>
      <c r="B5" t="s">
        <v>32</v>
      </c>
      <c r="C5" t="s">
        <v>36</v>
      </c>
      <c r="D5" s="6">
        <v>41</v>
      </c>
      <c r="E5" t="str">
        <f>A5&amp;"-"&amp;UPPER(LEFT(SUBSTITUTE(C5," ",""),2))&amp;"-"&amp;D5</f>
        <v>FA-01-WA-41</v>
      </c>
      <c r="H5" t="str">
        <f>IF(OR(F5="",G5=""),"",MAX(0,F5-G5))</f>
        <v/>
      </c>
      <c r="I5" s="6">
        <v>2</v>
      </c>
      <c r="J5" t="str">
        <f>IF(H5="","Not Set",IF(H5=0,"Out of Stock",IF(H5&lt;=I5,"Low Stock","In Stock")))</f>
        <v>Not Set</v>
      </c>
    </row>
    <row r="6" spans="1:11">
      <c r="A6" t="s">
        <v>42</v>
      </c>
      <c r="B6" t="s">
        <v>43</v>
      </c>
      <c r="C6" t="s">
        <v>45</v>
      </c>
      <c r="D6" s="6">
        <v>38</v>
      </c>
      <c r="E6" t="str">
        <f>A6&amp;"-"&amp;UPPER(LEFT(SUBSTITUTE(C6," ",""),2))&amp;"-"&amp;D6</f>
        <v>FA-02-CH-38</v>
      </c>
      <c r="H6" t="str">
        <f>IF(OR(F6="",G6=""),"",MAX(0,F6-G6))</f>
        <v/>
      </c>
      <c r="I6" s="6">
        <v>2</v>
      </c>
      <c r="J6" t="str">
        <f>IF(H6="","Not Set",IF(H6=0,"Out of Stock",IF(H6&lt;=I6,"Low Stock","In Stock")))</f>
        <v>Not Set</v>
      </c>
    </row>
    <row r="7" spans="1:11">
      <c r="A7" t="s">
        <v>42</v>
      </c>
      <c r="B7" t="s">
        <v>43</v>
      </c>
      <c r="C7" t="s">
        <v>45</v>
      </c>
      <c r="D7" s="6">
        <v>39</v>
      </c>
      <c r="E7" t="str">
        <f>A7&amp;"-"&amp;UPPER(LEFT(SUBSTITUTE(C7," ",""),2))&amp;"-"&amp;D7</f>
        <v>FA-02-CH-39</v>
      </c>
      <c r="H7" t="str">
        <f>IF(OR(F7="",G7=""),"",MAX(0,F7-G7))</f>
        <v/>
      </c>
      <c r="I7" s="6">
        <v>2</v>
      </c>
      <c r="J7" t="str">
        <f>IF(H7="","Not Set",IF(H7=0,"Out of Stock",IF(H7&lt;=I7,"Low Stock","In Stock")))</f>
        <v>Not Set</v>
      </c>
    </row>
    <row r="8" spans="1:11">
      <c r="A8" t="s">
        <v>42</v>
      </c>
      <c r="B8" t="s">
        <v>43</v>
      </c>
      <c r="C8" t="s">
        <v>45</v>
      </c>
      <c r="D8" s="6">
        <v>40</v>
      </c>
      <c r="E8" t="str">
        <f>A8&amp;"-"&amp;UPPER(LEFT(SUBSTITUTE(C8," ",""),2))&amp;"-"&amp;D8</f>
        <v>FA-02-CH-40</v>
      </c>
      <c r="H8" t="str">
        <f>IF(OR(F8="",G8=""),"",MAX(0,F8-G8))</f>
        <v/>
      </c>
      <c r="I8" s="6">
        <v>2</v>
      </c>
      <c r="J8" t="str">
        <f>IF(H8="","Not Set",IF(H8=0,"Out of Stock",IF(H8&lt;=I8,"Low Stock","In Stock")))</f>
        <v>Not Set</v>
      </c>
    </row>
    <row r="9" spans="1:11">
      <c r="A9" t="s">
        <v>42</v>
      </c>
      <c r="B9" t="s">
        <v>43</v>
      </c>
      <c r="C9" t="s">
        <v>45</v>
      </c>
      <c r="D9" s="6">
        <v>41</v>
      </c>
      <c r="E9" t="str">
        <f>A9&amp;"-"&amp;UPPER(LEFT(SUBSTITUTE(C9," ",""),2))&amp;"-"&amp;D9</f>
        <v>FA-02-CH-41</v>
      </c>
      <c r="H9" t="str">
        <f>IF(OR(F9="",G9=""),"",MAX(0,F9-G9))</f>
        <v/>
      </c>
      <c r="I9" s="6">
        <v>2</v>
      </c>
      <c r="J9" t="str">
        <f>IF(H9="","Not Set",IF(H9=0,"Out of Stock",IF(H9&lt;=I9,"Low Stock","In Stock")))</f>
        <v>Not Set</v>
      </c>
    </row>
    <row r="10" spans="1:11">
      <c r="A10" t="s">
        <v>47</v>
      </c>
      <c r="B10" t="s">
        <v>48</v>
      </c>
      <c r="C10" t="s">
        <v>51</v>
      </c>
      <c r="D10" s="6">
        <v>38</v>
      </c>
      <c r="E10" t="str">
        <f>A10&amp;"-"&amp;UPPER(LEFT(SUBSTITUTE(C10," ",""),2))&amp;"-"&amp;D10</f>
        <v>FA-03-SO-38</v>
      </c>
      <c r="H10" t="str">
        <f>IF(OR(F10="",G10=""),"",MAX(0,F10-G10))</f>
        <v/>
      </c>
      <c r="I10" s="6">
        <v>2</v>
      </c>
      <c r="J10" t="str">
        <f>IF(H10="","Not Set",IF(H10=0,"Out of Stock",IF(H10&lt;=I10,"Low Stock","In Stock")))</f>
        <v>Not Set</v>
      </c>
    </row>
    <row r="11" spans="1:11">
      <c r="A11" t="s">
        <v>47</v>
      </c>
      <c r="B11" t="s">
        <v>48</v>
      </c>
      <c r="C11" t="s">
        <v>51</v>
      </c>
      <c r="D11" s="6">
        <v>39</v>
      </c>
      <c r="E11" t="str">
        <f>A11&amp;"-"&amp;UPPER(LEFT(SUBSTITUTE(C11," ",""),2))&amp;"-"&amp;D11</f>
        <v>FA-03-SO-39</v>
      </c>
      <c r="H11" t="str">
        <f>IF(OR(F11="",G11=""),"",MAX(0,F11-G11))</f>
        <v/>
      </c>
      <c r="I11" s="6">
        <v>2</v>
      </c>
      <c r="J11" t="str">
        <f>IF(H11="","Not Set",IF(H11=0,"Out of Stock",IF(H11&lt;=I11,"Low Stock","In Stock")))</f>
        <v>Not Set</v>
      </c>
    </row>
    <row r="12" spans="1:11">
      <c r="A12" t="s">
        <v>47</v>
      </c>
      <c r="B12" t="s">
        <v>48</v>
      </c>
      <c r="C12" t="s">
        <v>51</v>
      </c>
      <c r="D12" s="6">
        <v>40</v>
      </c>
      <c r="E12" t="str">
        <f>A12&amp;"-"&amp;UPPER(LEFT(SUBSTITUTE(C12," ",""),2))&amp;"-"&amp;D12</f>
        <v>FA-03-SO-40</v>
      </c>
      <c r="H12" t="str">
        <f>IF(OR(F12="",G12=""),"",MAX(0,F12-G12))</f>
        <v/>
      </c>
      <c r="I12" s="6">
        <v>2</v>
      </c>
      <c r="J12" t="str">
        <f>IF(H12="","Not Set",IF(H12=0,"Out of Stock",IF(H12&lt;=I12,"Low Stock","In Stock")))</f>
        <v>Not Set</v>
      </c>
    </row>
    <row r="13" spans="1:11">
      <c r="A13" t="s">
        <v>47</v>
      </c>
      <c r="B13" t="s">
        <v>48</v>
      </c>
      <c r="C13" t="s">
        <v>51</v>
      </c>
      <c r="D13" s="6">
        <v>41</v>
      </c>
      <c r="E13" t="str">
        <f>A13&amp;"-"&amp;UPPER(LEFT(SUBSTITUTE(C13," ",""),2))&amp;"-"&amp;D13</f>
        <v>FA-03-SO-41</v>
      </c>
      <c r="H13" t="str">
        <f>IF(OR(F13="",G13=""),"",MAX(0,F13-G13))</f>
        <v/>
      </c>
      <c r="I13" s="6">
        <v>2</v>
      </c>
      <c r="J13" t="str">
        <f>IF(H13="","Not Set",IF(H13=0,"Out of Stock",IF(H13&lt;=I13,"Low Stock","In Stock")))</f>
        <v>Not Set</v>
      </c>
    </row>
    <row r="14" spans="1:11">
      <c r="A14" t="s">
        <v>53</v>
      </c>
      <c r="B14" t="s">
        <v>54</v>
      </c>
      <c r="C14" t="s">
        <v>57</v>
      </c>
      <c r="D14" s="6">
        <v>38</v>
      </c>
      <c r="E14" t="str">
        <f>A14&amp;"-"&amp;UPPER(LEFT(SUBSTITUTE(C14," ",""),2))&amp;"-"&amp;D14</f>
        <v>FA-04-JE-38</v>
      </c>
      <c r="H14" t="str">
        <f>IF(OR(F14="",G14=""),"",MAX(0,F14-G14))</f>
        <v/>
      </c>
      <c r="I14" s="6">
        <v>2</v>
      </c>
      <c r="J14" t="str">
        <f>IF(H14="","Not Set",IF(H14=0,"Out of Stock",IF(H14&lt;=I14,"Low Stock","In Stock")))</f>
        <v>Not Set</v>
      </c>
    </row>
    <row r="15" spans="1:11">
      <c r="A15" t="s">
        <v>53</v>
      </c>
      <c r="B15" t="s">
        <v>54</v>
      </c>
      <c r="C15" t="s">
        <v>57</v>
      </c>
      <c r="D15" s="6">
        <v>39</v>
      </c>
      <c r="E15" t="str">
        <f>A15&amp;"-"&amp;UPPER(LEFT(SUBSTITUTE(C15," ",""),2))&amp;"-"&amp;D15</f>
        <v>FA-04-JE-39</v>
      </c>
      <c r="H15" t="str">
        <f>IF(OR(F15="",G15=""),"",MAX(0,F15-G15))</f>
        <v/>
      </c>
      <c r="I15" s="6">
        <v>2</v>
      </c>
      <c r="J15" t="str">
        <f>IF(H15="","Not Set",IF(H15=0,"Out of Stock",IF(H15&lt;=I15,"Low Stock","In Stock")))</f>
        <v>Not Set</v>
      </c>
    </row>
    <row r="16" spans="1:11">
      <c r="A16" t="s">
        <v>53</v>
      </c>
      <c r="B16" t="s">
        <v>54</v>
      </c>
      <c r="C16" t="s">
        <v>57</v>
      </c>
      <c r="D16" s="6">
        <v>40</v>
      </c>
      <c r="E16" t="str">
        <f>A16&amp;"-"&amp;UPPER(LEFT(SUBSTITUTE(C16," ",""),2))&amp;"-"&amp;D16</f>
        <v>FA-04-JE-40</v>
      </c>
      <c r="H16" t="str">
        <f>IF(OR(F16="",G16=""),"",MAX(0,F16-G16))</f>
        <v/>
      </c>
      <c r="I16" s="6">
        <v>2</v>
      </c>
      <c r="J16" t="str">
        <f>IF(H16="","Not Set",IF(H16=0,"Out of Stock",IF(H16&lt;=I16,"Low Stock","In Stock")))</f>
        <v>Not Set</v>
      </c>
    </row>
    <row r="17" spans="1:10">
      <c r="A17" t="s">
        <v>53</v>
      </c>
      <c r="B17" t="s">
        <v>54</v>
      </c>
      <c r="C17" t="s">
        <v>57</v>
      </c>
      <c r="D17" s="6">
        <v>41</v>
      </c>
      <c r="E17" t="str">
        <f>A17&amp;"-"&amp;UPPER(LEFT(SUBSTITUTE(C17," ",""),2))&amp;"-"&amp;D17</f>
        <v>FA-04-JE-41</v>
      </c>
      <c r="H17" t="str">
        <f>IF(OR(F17="",G17=""),"",MAX(0,F17-G17))</f>
        <v/>
      </c>
      <c r="I17" s="6">
        <v>2</v>
      </c>
      <c r="J17" t="str">
        <f>IF(H17="","Not Set",IF(H17=0,"Out of Stock",IF(H17&lt;=I17,"Low Stock","In Stock")))</f>
        <v>Not Set</v>
      </c>
    </row>
    <row r="18" spans="1:10">
      <c r="A18" t="s">
        <v>59</v>
      </c>
      <c r="B18" t="s">
        <v>60</v>
      </c>
      <c r="C18" t="s">
        <v>62</v>
      </c>
      <c r="D18" s="6">
        <v>38</v>
      </c>
      <c r="E18" t="str">
        <f>A18&amp;"-"&amp;UPPER(LEFT(SUBSTITUTE(C18," ",""),2))&amp;"-"&amp;D18</f>
        <v>FA-05-PE-38</v>
      </c>
      <c r="H18" t="str">
        <f>IF(OR(F18="",G18=""),"",MAX(0,F18-G18))</f>
        <v/>
      </c>
      <c r="I18" s="6">
        <v>2</v>
      </c>
      <c r="J18" t="str">
        <f>IF(H18="","Not Set",IF(H18=0,"Out of Stock",IF(H18&lt;=I18,"Low Stock","In Stock")))</f>
        <v>Not Set</v>
      </c>
    </row>
    <row r="19" spans="1:10">
      <c r="A19" t="s">
        <v>59</v>
      </c>
      <c r="B19" t="s">
        <v>60</v>
      </c>
      <c r="C19" t="s">
        <v>62</v>
      </c>
      <c r="D19" s="6">
        <v>39</v>
      </c>
      <c r="E19" t="str">
        <f>A19&amp;"-"&amp;UPPER(LEFT(SUBSTITUTE(C19," ",""),2))&amp;"-"&amp;D19</f>
        <v>FA-05-PE-39</v>
      </c>
      <c r="H19" t="str">
        <f>IF(OR(F19="",G19=""),"",MAX(0,F19-G19))</f>
        <v/>
      </c>
      <c r="I19" s="6">
        <v>2</v>
      </c>
      <c r="J19" t="str">
        <f>IF(H19="","Not Set",IF(H19=0,"Out of Stock",IF(H19&lt;=I19,"Low Stock","In Stock")))</f>
        <v>Not Set</v>
      </c>
    </row>
    <row r="20" spans="1:10">
      <c r="A20" t="s">
        <v>59</v>
      </c>
      <c r="B20" t="s">
        <v>60</v>
      </c>
      <c r="C20" t="s">
        <v>62</v>
      </c>
      <c r="D20" s="6">
        <v>40</v>
      </c>
      <c r="E20" t="str">
        <f>A20&amp;"-"&amp;UPPER(LEFT(SUBSTITUTE(C20," ",""),2))&amp;"-"&amp;D20</f>
        <v>FA-05-PE-40</v>
      </c>
      <c r="H20" t="str">
        <f>IF(OR(F20="",G20=""),"",MAX(0,F20-G20))</f>
        <v/>
      </c>
      <c r="I20" s="6">
        <v>2</v>
      </c>
      <c r="J20" t="str">
        <f>IF(H20="","Not Set",IF(H20=0,"Out of Stock",IF(H20&lt;=I20,"Low Stock","In Stock")))</f>
        <v>Not Set</v>
      </c>
    </row>
    <row r="21" spans="1:10">
      <c r="A21" t="s">
        <v>59</v>
      </c>
      <c r="B21" t="s">
        <v>60</v>
      </c>
      <c r="C21" t="s">
        <v>62</v>
      </c>
      <c r="D21" s="6">
        <v>41</v>
      </c>
      <c r="E21" t="str">
        <f>A21&amp;"-"&amp;UPPER(LEFT(SUBSTITUTE(C21," ",""),2))&amp;"-"&amp;D21</f>
        <v>FA-05-PE-41</v>
      </c>
      <c r="H21" t="str">
        <f>IF(OR(F21="",G21=""),"",MAX(0,F21-G21))</f>
        <v/>
      </c>
      <c r="I21" s="6">
        <v>2</v>
      </c>
      <c r="J21" t="str">
        <f>IF(H21="","Not Set",IF(H21=0,"Out of Stock",IF(H21&lt;=I21,"Low Stock","In Stock")))</f>
        <v>Not Set</v>
      </c>
    </row>
    <row r="22" spans="1:10">
      <c r="A22" t="s">
        <v>64</v>
      </c>
      <c r="B22" t="s">
        <v>65</v>
      </c>
      <c r="C22" t="s">
        <v>68</v>
      </c>
      <c r="D22" s="6">
        <v>38</v>
      </c>
      <c r="E22" t="str">
        <f>A22&amp;"-"&amp;UPPER(LEFT(SUBSTITUTE(C22," ",""),2))&amp;"-"&amp;D22</f>
        <v>FA-06-CL-38</v>
      </c>
      <c r="H22" t="str">
        <f>IF(OR(F22="",G22=""),"",MAX(0,F22-G22))</f>
        <v/>
      </c>
      <c r="I22" s="6">
        <v>2</v>
      </c>
      <c r="J22" t="str">
        <f>IF(H22="","Not Set",IF(H22=0,"Out of Stock",IF(H22&lt;=I22,"Low Stock","In Stock")))</f>
        <v>Not Set</v>
      </c>
    </row>
    <row r="23" spans="1:10">
      <c r="A23" t="s">
        <v>64</v>
      </c>
      <c r="B23" t="s">
        <v>65</v>
      </c>
      <c r="C23" t="s">
        <v>68</v>
      </c>
      <c r="D23" s="6">
        <v>39</v>
      </c>
      <c r="E23" t="str">
        <f>A23&amp;"-"&amp;UPPER(LEFT(SUBSTITUTE(C23," ",""),2))&amp;"-"&amp;D23</f>
        <v>FA-06-CL-39</v>
      </c>
      <c r="H23" t="str">
        <f>IF(OR(F23="",G23=""),"",MAX(0,F23-G23))</f>
        <v/>
      </c>
      <c r="I23" s="6">
        <v>2</v>
      </c>
      <c r="J23" t="str">
        <f>IF(H23="","Not Set",IF(H23=0,"Out of Stock",IF(H23&lt;=I23,"Low Stock","In Stock")))</f>
        <v>Not Set</v>
      </c>
    </row>
    <row r="24" spans="1:10">
      <c r="A24" t="s">
        <v>64</v>
      </c>
      <c r="B24" t="s">
        <v>65</v>
      </c>
      <c r="C24" t="s">
        <v>68</v>
      </c>
      <c r="D24" s="6">
        <v>40</v>
      </c>
      <c r="E24" t="str">
        <f>A24&amp;"-"&amp;UPPER(LEFT(SUBSTITUTE(C24," ",""),2))&amp;"-"&amp;D24</f>
        <v>FA-06-CL-40</v>
      </c>
      <c r="H24" t="str">
        <f>IF(OR(F24="",G24=""),"",MAX(0,F24-G24))</f>
        <v/>
      </c>
      <c r="I24" s="6">
        <v>2</v>
      </c>
      <c r="J24" t="str">
        <f>IF(H24="","Not Set",IF(H24=0,"Out of Stock",IF(H24&lt;=I24,"Low Stock","In Stock")))</f>
        <v>Not Set</v>
      </c>
    </row>
    <row r="25" spans="1:10">
      <c r="A25" t="s">
        <v>64</v>
      </c>
      <c r="B25" t="s">
        <v>65</v>
      </c>
      <c r="C25" t="s">
        <v>68</v>
      </c>
      <c r="D25" s="6">
        <v>41</v>
      </c>
      <c r="E25" t="str">
        <f>A25&amp;"-"&amp;UPPER(LEFT(SUBSTITUTE(C25," ",""),2))&amp;"-"&amp;D25</f>
        <v>FA-06-CL-41</v>
      </c>
      <c r="H25" t="str">
        <f>IF(OR(F25="",G25=""),"",MAX(0,F25-G25))</f>
        <v/>
      </c>
      <c r="I25" s="6">
        <v>2</v>
      </c>
      <c r="J25" t="str">
        <f>IF(H25="","Not Set",IF(H25=0,"Out of Stock",IF(H25&lt;=I25,"Low Stock","In Stock")))</f>
        <v>Not Set</v>
      </c>
    </row>
    <row r="26" spans="1:10">
      <c r="A26" t="s">
        <v>70</v>
      </c>
      <c r="B26" t="s">
        <v>71</v>
      </c>
      <c r="C26" t="s">
        <v>57</v>
      </c>
      <c r="D26" s="6">
        <v>38</v>
      </c>
      <c r="E26" t="str">
        <f>A26&amp;"-"&amp;UPPER(LEFT(SUBSTITUTE(C26," ",""),2))&amp;"-"&amp;D26</f>
        <v>FA-07-JE-38</v>
      </c>
      <c r="H26" t="str">
        <f>IF(OR(F26="",G26=""),"",MAX(0,F26-G26))</f>
        <v/>
      </c>
      <c r="I26" s="6">
        <v>2</v>
      </c>
      <c r="J26" t="str">
        <f>IF(H26="","Not Set",IF(H26=0,"Out of Stock",IF(H26&lt;=I26,"Low Stock","In Stock")))</f>
        <v>Not Set</v>
      </c>
    </row>
    <row r="27" spans="1:10">
      <c r="A27" t="s">
        <v>70</v>
      </c>
      <c r="B27" t="s">
        <v>71</v>
      </c>
      <c r="C27" t="s">
        <v>57</v>
      </c>
      <c r="D27" s="6">
        <v>39</v>
      </c>
      <c r="E27" t="str">
        <f>A27&amp;"-"&amp;UPPER(LEFT(SUBSTITUTE(C27," ",""),2))&amp;"-"&amp;D27</f>
        <v>FA-07-JE-39</v>
      </c>
      <c r="H27" t="str">
        <f>IF(OR(F27="",G27=""),"",MAX(0,F27-G27))</f>
        <v/>
      </c>
      <c r="I27" s="6">
        <v>2</v>
      </c>
      <c r="J27" t="str">
        <f>IF(H27="","Not Set",IF(H27=0,"Out of Stock",IF(H27&lt;=I27,"Low Stock","In Stock")))</f>
        <v>Not Set</v>
      </c>
    </row>
    <row r="28" spans="1:10">
      <c r="A28" t="s">
        <v>70</v>
      </c>
      <c r="B28" t="s">
        <v>71</v>
      </c>
      <c r="C28" t="s">
        <v>57</v>
      </c>
      <c r="D28" s="6">
        <v>40</v>
      </c>
      <c r="E28" t="str">
        <f>A28&amp;"-"&amp;UPPER(LEFT(SUBSTITUTE(C28," ",""),2))&amp;"-"&amp;D28</f>
        <v>FA-07-JE-40</v>
      </c>
      <c r="H28" t="str">
        <f>IF(OR(F28="",G28=""),"",MAX(0,F28-G28))</f>
        <v/>
      </c>
      <c r="I28" s="6">
        <v>2</v>
      </c>
      <c r="J28" t="str">
        <f>IF(H28="","Not Set",IF(H28=0,"Out of Stock",IF(H28&lt;=I28,"Low Stock","In Stock")))</f>
        <v>Not Set</v>
      </c>
    </row>
    <row r="29" spans="1:10">
      <c r="A29" t="s">
        <v>70</v>
      </c>
      <c r="B29" t="s">
        <v>71</v>
      </c>
      <c r="C29" t="s">
        <v>57</v>
      </c>
      <c r="D29" s="6">
        <v>41</v>
      </c>
      <c r="E29" t="str">
        <f>A29&amp;"-"&amp;UPPER(LEFT(SUBSTITUTE(C29," ",""),2))&amp;"-"&amp;D29</f>
        <v>FA-07-JE-41</v>
      </c>
      <c r="H29" t="str">
        <f>IF(OR(F29="",G29=""),"",MAX(0,F29-G29))</f>
        <v/>
      </c>
      <c r="I29" s="6">
        <v>2</v>
      </c>
      <c r="J29" t="str">
        <f>IF(H29="","Not Set",IF(H29=0,"Out of Stock",IF(H29&lt;=I29,"Low Stock","In Stock")))</f>
        <v>Not Set</v>
      </c>
    </row>
    <row r="30" spans="1:10">
      <c r="A30" t="s">
        <v>74</v>
      </c>
      <c r="B30" t="s">
        <v>75</v>
      </c>
      <c r="C30" t="s">
        <v>78</v>
      </c>
      <c r="D30" s="6">
        <v>38</v>
      </c>
      <c r="E30" t="str">
        <f>A30&amp;"-"&amp;UPPER(LEFT(SUBSTITUTE(C30," ",""),2))&amp;"-"&amp;D30</f>
        <v>FA-08-PE-38</v>
      </c>
      <c r="H30" t="str">
        <f>IF(OR(F30="",G30=""),"",MAX(0,F30-G30))</f>
        <v/>
      </c>
      <c r="I30" s="6">
        <v>2</v>
      </c>
      <c r="J30" t="str">
        <f>IF(H30="","Not Set",IF(H30=0,"Out of Stock",IF(H30&lt;=I30,"Low Stock","In Stock")))</f>
        <v>Not Set</v>
      </c>
    </row>
    <row r="31" spans="1:10">
      <c r="A31" t="s">
        <v>74</v>
      </c>
      <c r="B31" t="s">
        <v>75</v>
      </c>
      <c r="C31" t="s">
        <v>78</v>
      </c>
      <c r="D31" s="6">
        <v>39</v>
      </c>
      <c r="E31" t="str">
        <f>A31&amp;"-"&amp;UPPER(LEFT(SUBSTITUTE(C31," ",""),2))&amp;"-"&amp;D31</f>
        <v>FA-08-PE-39</v>
      </c>
      <c r="H31" t="str">
        <f>IF(OR(F31="",G31=""),"",MAX(0,F31-G31))</f>
        <v/>
      </c>
      <c r="I31" s="6">
        <v>2</v>
      </c>
      <c r="J31" t="str">
        <f>IF(H31="","Not Set",IF(H31=0,"Out of Stock",IF(H31&lt;=I31,"Low Stock","In Stock")))</f>
        <v>Not Set</v>
      </c>
    </row>
    <row r="32" spans="1:10">
      <c r="A32" t="s">
        <v>74</v>
      </c>
      <c r="B32" t="s">
        <v>75</v>
      </c>
      <c r="C32" t="s">
        <v>78</v>
      </c>
      <c r="D32" s="6">
        <v>40</v>
      </c>
      <c r="E32" t="str">
        <f>A32&amp;"-"&amp;UPPER(LEFT(SUBSTITUTE(C32," ",""),2))&amp;"-"&amp;D32</f>
        <v>FA-08-PE-40</v>
      </c>
      <c r="H32" t="str">
        <f>IF(OR(F32="",G32=""),"",MAX(0,F32-G32))</f>
        <v/>
      </c>
      <c r="I32" s="6">
        <v>2</v>
      </c>
      <c r="J32" t="str">
        <f>IF(H32="","Not Set",IF(H32=0,"Out of Stock",IF(H32&lt;=I32,"Low Stock","In Stock")))</f>
        <v>Not Set</v>
      </c>
    </row>
    <row r="33" spans="1:10">
      <c r="A33" t="s">
        <v>74</v>
      </c>
      <c r="B33" t="s">
        <v>75</v>
      </c>
      <c r="C33" t="s">
        <v>78</v>
      </c>
      <c r="D33" s="6">
        <v>41</v>
      </c>
      <c r="E33" t="str">
        <f>A33&amp;"-"&amp;UPPER(LEFT(SUBSTITUTE(C33," ",""),2))&amp;"-"&amp;D33</f>
        <v>FA-08-PE-41</v>
      </c>
      <c r="H33" t="str">
        <f>IF(OR(F33="",G33=""),"",MAX(0,F33-G33))</f>
        <v/>
      </c>
      <c r="I33" s="6">
        <v>2</v>
      </c>
      <c r="J33" t="str">
        <f>IF(H33="","Not Set",IF(H33=0,"Out of Stock",IF(H33&lt;=I33,"Low Stock","In Stock")))</f>
        <v>Not Set</v>
      </c>
    </row>
    <row r="34" spans="1:10">
      <c r="A34" t="s">
        <v>80</v>
      </c>
      <c r="B34" t="s">
        <v>81</v>
      </c>
      <c r="C34" t="s">
        <v>45</v>
      </c>
      <c r="D34" s="6">
        <v>38</v>
      </c>
      <c r="E34" t="str">
        <f>A34&amp;"-"&amp;UPPER(LEFT(SUBSTITUTE(C34," ",""),2))&amp;"-"&amp;D34</f>
        <v>FA-09-CH-38</v>
      </c>
      <c r="H34" t="str">
        <f>IF(OR(F34="",G34=""),"",MAX(0,F34-G34))</f>
        <v/>
      </c>
      <c r="I34" s="6">
        <v>2</v>
      </c>
      <c r="J34" t="str">
        <f>IF(H34="","Not Set",IF(H34=0,"Out of Stock",IF(H34&lt;=I34,"Low Stock","In Stock")))</f>
        <v>Not Set</v>
      </c>
    </row>
    <row r="35" spans="1:10">
      <c r="A35" t="s">
        <v>80</v>
      </c>
      <c r="B35" t="s">
        <v>81</v>
      </c>
      <c r="C35" t="s">
        <v>45</v>
      </c>
      <c r="D35" s="6">
        <v>39</v>
      </c>
      <c r="E35" t="str">
        <f>A35&amp;"-"&amp;UPPER(LEFT(SUBSTITUTE(C35," ",""),2))&amp;"-"&amp;D35</f>
        <v>FA-09-CH-39</v>
      </c>
      <c r="H35" t="str">
        <f>IF(OR(F35="",G35=""),"",MAX(0,F35-G35))</f>
        <v/>
      </c>
      <c r="I35" s="6">
        <v>2</v>
      </c>
      <c r="J35" t="str">
        <f>IF(H35="","Not Set",IF(H35=0,"Out of Stock",IF(H35&lt;=I35,"Low Stock","In Stock")))</f>
        <v>Not Set</v>
      </c>
    </row>
    <row r="36" spans="1:10">
      <c r="A36" t="s">
        <v>80</v>
      </c>
      <c r="B36" t="s">
        <v>81</v>
      </c>
      <c r="C36" t="s">
        <v>45</v>
      </c>
      <c r="D36" s="6">
        <v>40</v>
      </c>
      <c r="E36" t="str">
        <f>A36&amp;"-"&amp;UPPER(LEFT(SUBSTITUTE(C36," ",""),2))&amp;"-"&amp;D36</f>
        <v>FA-09-CH-40</v>
      </c>
      <c r="H36" t="str">
        <f>IF(OR(F36="",G36=""),"",MAX(0,F36-G36))</f>
        <v/>
      </c>
      <c r="I36" s="6">
        <v>2</v>
      </c>
      <c r="J36" t="str">
        <f>IF(H36="","Not Set",IF(H36=0,"Out of Stock",IF(H36&lt;=I36,"Low Stock","In Stock")))</f>
        <v>Not Set</v>
      </c>
    </row>
    <row r="37" spans="1:10">
      <c r="A37" t="s">
        <v>80</v>
      </c>
      <c r="B37" t="s">
        <v>81</v>
      </c>
      <c r="C37" t="s">
        <v>45</v>
      </c>
      <c r="D37" s="6">
        <v>41</v>
      </c>
      <c r="E37" t="str">
        <f>A37&amp;"-"&amp;UPPER(LEFT(SUBSTITUTE(C37," ",""),2))&amp;"-"&amp;D37</f>
        <v>FA-09-CH-41</v>
      </c>
      <c r="H37" t="str">
        <f>IF(OR(F37="",G37=""),"",MAX(0,F37-G37))</f>
        <v/>
      </c>
      <c r="I37" s="6">
        <v>2</v>
      </c>
      <c r="J37" t="str">
        <f>IF(H37="","Not Set",IF(H37=0,"Out of Stock",IF(H37&lt;=I37,"Low Stock","In Stock")))</f>
        <v>Not Set</v>
      </c>
    </row>
    <row r="38" spans="1:10">
      <c r="A38" t="s">
        <v>84</v>
      </c>
      <c r="B38" t="s">
        <v>85</v>
      </c>
      <c r="C38" t="s">
        <v>87</v>
      </c>
      <c r="D38" s="6">
        <v>38</v>
      </c>
      <c r="E38" t="str">
        <f>A38&amp;"-"&amp;UPPER(LEFT(SUBSTITUTE(C38," ",""),2))&amp;"-"&amp;D38</f>
        <v>FA-10-WA-38</v>
      </c>
      <c r="H38" t="str">
        <f>IF(OR(F38="",G38=""),"",MAX(0,F38-G38))</f>
        <v/>
      </c>
      <c r="I38" s="6">
        <v>2</v>
      </c>
      <c r="J38" t="str">
        <f>IF(H38="","Not Set",IF(H38=0,"Out of Stock",IF(H38&lt;=I38,"Low Stock","In Stock")))</f>
        <v>Not Set</v>
      </c>
    </row>
    <row r="39" spans="1:10">
      <c r="A39" t="s">
        <v>84</v>
      </c>
      <c r="B39" t="s">
        <v>85</v>
      </c>
      <c r="C39" t="s">
        <v>87</v>
      </c>
      <c r="D39" s="6">
        <v>39</v>
      </c>
      <c r="E39" t="str">
        <f>A39&amp;"-"&amp;UPPER(LEFT(SUBSTITUTE(C39," ",""),2))&amp;"-"&amp;D39</f>
        <v>FA-10-WA-39</v>
      </c>
      <c r="H39" t="str">
        <f>IF(OR(F39="",G39=""),"",MAX(0,F39-G39))</f>
        <v/>
      </c>
      <c r="I39" s="6">
        <v>2</v>
      </c>
      <c r="J39" t="str">
        <f>IF(H39="","Not Set",IF(H39=0,"Out of Stock",IF(H39&lt;=I39,"Low Stock","In Stock")))</f>
        <v>Not Set</v>
      </c>
    </row>
    <row r="40" spans="1:10">
      <c r="A40" t="s">
        <v>84</v>
      </c>
      <c r="B40" t="s">
        <v>85</v>
      </c>
      <c r="C40" t="s">
        <v>87</v>
      </c>
      <c r="D40" s="6">
        <v>40</v>
      </c>
      <c r="E40" t="str">
        <f>A40&amp;"-"&amp;UPPER(LEFT(SUBSTITUTE(C40," ",""),2))&amp;"-"&amp;D40</f>
        <v>FA-10-WA-40</v>
      </c>
      <c r="H40" t="str">
        <f>IF(OR(F40="",G40=""),"",MAX(0,F40-G40))</f>
        <v/>
      </c>
      <c r="I40" s="6">
        <v>2</v>
      </c>
      <c r="J40" t="str">
        <f>IF(H40="","Not Set",IF(H40=0,"Out of Stock",IF(H40&lt;=I40,"Low Stock","In Stock")))</f>
        <v>Not Set</v>
      </c>
    </row>
    <row r="41" spans="1:10">
      <c r="A41" t="s">
        <v>84</v>
      </c>
      <c r="B41" t="s">
        <v>85</v>
      </c>
      <c r="C41" t="s">
        <v>87</v>
      </c>
      <c r="D41" s="6">
        <v>41</v>
      </c>
      <c r="E41" t="str">
        <f>A41&amp;"-"&amp;UPPER(LEFT(SUBSTITUTE(C41," ",""),2))&amp;"-"&amp;D41</f>
        <v>FA-10-WA-41</v>
      </c>
      <c r="H41" t="str">
        <f>IF(OR(F41="",G41=""),"",MAX(0,F41-G41))</f>
        <v/>
      </c>
      <c r="I41" s="6">
        <v>2</v>
      </c>
      <c r="J41" t="str">
        <f>IF(H41="","Not Set",IF(H41=0,"Out of Stock",IF(H41&lt;=I41,"Low Stock","In Stock")))</f>
        <v>Not Set</v>
      </c>
    </row>
    <row r="42" spans="1:10">
      <c r="A42" t="s">
        <v>89</v>
      </c>
      <c r="B42" t="s">
        <v>90</v>
      </c>
      <c r="C42" t="s">
        <v>62</v>
      </c>
      <c r="D42" s="6">
        <v>38</v>
      </c>
      <c r="E42" t="str">
        <f>A42&amp;"-"&amp;UPPER(LEFT(SUBSTITUTE(C42," ",""),2))&amp;"-"&amp;D42</f>
        <v>FA-11-PE-38</v>
      </c>
      <c r="H42" t="str">
        <f>IF(OR(F42="",G42=""),"",MAX(0,F42-G42))</f>
        <v/>
      </c>
      <c r="I42" s="6">
        <v>2</v>
      </c>
      <c r="J42" t="str">
        <f>IF(H42="","Not Set",IF(H42=0,"Out of Stock",IF(H42&lt;=I42,"Low Stock","In Stock")))</f>
        <v>Not Set</v>
      </c>
    </row>
    <row r="43" spans="1:10">
      <c r="A43" t="s">
        <v>89</v>
      </c>
      <c r="B43" t="s">
        <v>90</v>
      </c>
      <c r="C43" t="s">
        <v>62</v>
      </c>
      <c r="D43" s="6">
        <v>39</v>
      </c>
      <c r="E43" t="str">
        <f>A43&amp;"-"&amp;UPPER(LEFT(SUBSTITUTE(C43," ",""),2))&amp;"-"&amp;D43</f>
        <v>FA-11-PE-39</v>
      </c>
      <c r="H43" t="str">
        <f>IF(OR(F43="",G43=""),"",MAX(0,F43-G43))</f>
        <v/>
      </c>
      <c r="I43" s="6">
        <v>2</v>
      </c>
      <c r="J43" t="str">
        <f>IF(H43="","Not Set",IF(H43=0,"Out of Stock",IF(H43&lt;=I43,"Low Stock","In Stock")))</f>
        <v>Not Set</v>
      </c>
    </row>
    <row r="44" spans="1:10">
      <c r="A44" t="s">
        <v>89</v>
      </c>
      <c r="B44" t="s">
        <v>90</v>
      </c>
      <c r="C44" t="s">
        <v>62</v>
      </c>
      <c r="D44" s="6">
        <v>40</v>
      </c>
      <c r="E44" t="str">
        <f>A44&amp;"-"&amp;UPPER(LEFT(SUBSTITUTE(C44," ",""),2))&amp;"-"&amp;D44</f>
        <v>FA-11-PE-40</v>
      </c>
      <c r="H44" t="str">
        <f>IF(OR(F44="",G44=""),"",MAX(0,F44-G44))</f>
        <v/>
      </c>
      <c r="I44" s="6">
        <v>2</v>
      </c>
      <c r="J44" t="str">
        <f>IF(H44="","Not Set",IF(H44=0,"Out of Stock",IF(H44&lt;=I44,"Low Stock","In Stock")))</f>
        <v>Not Set</v>
      </c>
    </row>
    <row r="45" spans="1:10">
      <c r="A45" t="s">
        <v>89</v>
      </c>
      <c r="B45" t="s">
        <v>90</v>
      </c>
      <c r="C45" t="s">
        <v>62</v>
      </c>
      <c r="D45" s="6">
        <v>41</v>
      </c>
      <c r="E45" t="str">
        <f>A45&amp;"-"&amp;UPPER(LEFT(SUBSTITUTE(C45," ",""),2))&amp;"-"&amp;D45</f>
        <v>FA-11-PE-41</v>
      </c>
      <c r="H45" t="str">
        <f>IF(OR(F45="",G45=""),"",MAX(0,F45-G45))</f>
        <v/>
      </c>
      <c r="I45" s="6">
        <v>2</v>
      </c>
      <c r="J45" t="str">
        <f>IF(H45="","Not Set",IF(H45=0,"Out of Stock",IF(H45&lt;=I45,"Low Stock","In Stock")))</f>
        <v>Not Set</v>
      </c>
    </row>
    <row r="46" spans="1:10">
      <c r="A46" t="s">
        <v>95</v>
      </c>
      <c r="B46" t="s">
        <v>96</v>
      </c>
      <c r="C46" t="s">
        <v>57</v>
      </c>
      <c r="D46" s="6">
        <v>38</v>
      </c>
      <c r="E46" t="str">
        <f>A46&amp;"-"&amp;UPPER(LEFT(SUBSTITUTE(C46," ",""),2))&amp;"-"&amp;D46</f>
        <v>FA-12-JE-38</v>
      </c>
      <c r="H46" t="str">
        <f>IF(OR(F46="",G46=""),"",MAX(0,F46-G46))</f>
        <v/>
      </c>
      <c r="I46" s="6">
        <v>2</v>
      </c>
      <c r="J46" t="str">
        <f>IF(H46="","Not Set",IF(H46=0,"Out of Stock",IF(H46&lt;=I46,"Low Stock","In Stock")))</f>
        <v>Not Set</v>
      </c>
    </row>
    <row r="47" spans="1:10">
      <c r="A47" t="s">
        <v>95</v>
      </c>
      <c r="B47" t="s">
        <v>96</v>
      </c>
      <c r="C47" t="s">
        <v>57</v>
      </c>
      <c r="D47" s="6">
        <v>39</v>
      </c>
      <c r="E47" t="str">
        <f>A47&amp;"-"&amp;UPPER(LEFT(SUBSTITUTE(C47," ",""),2))&amp;"-"&amp;D47</f>
        <v>FA-12-JE-39</v>
      </c>
      <c r="H47" t="str">
        <f>IF(OR(F47="",G47=""),"",MAX(0,F47-G47))</f>
        <v/>
      </c>
      <c r="I47" s="6">
        <v>2</v>
      </c>
      <c r="J47" t="str">
        <f>IF(H47="","Not Set",IF(H47=0,"Out of Stock",IF(H47&lt;=I47,"Low Stock","In Stock")))</f>
        <v>Not Set</v>
      </c>
    </row>
    <row r="48" spans="1:10">
      <c r="A48" t="s">
        <v>95</v>
      </c>
      <c r="B48" t="s">
        <v>96</v>
      </c>
      <c r="C48" t="s">
        <v>57</v>
      </c>
      <c r="D48" s="6">
        <v>40</v>
      </c>
      <c r="E48" t="str">
        <f>A48&amp;"-"&amp;UPPER(LEFT(SUBSTITUTE(C48," ",""),2))&amp;"-"&amp;D48</f>
        <v>FA-12-JE-40</v>
      </c>
      <c r="H48" t="str">
        <f>IF(OR(F48="",G48=""),"",MAX(0,F48-G48))</f>
        <v/>
      </c>
      <c r="I48" s="6">
        <v>2</v>
      </c>
      <c r="J48" t="str">
        <f>IF(H48="","Not Set",IF(H48=0,"Out of Stock",IF(H48&lt;=I48,"Low Stock","In Stock")))</f>
        <v>Not Set</v>
      </c>
    </row>
    <row r="49" spans="1:10">
      <c r="A49" t="s">
        <v>95</v>
      </c>
      <c r="B49" t="s">
        <v>96</v>
      </c>
      <c r="C49" t="s">
        <v>57</v>
      </c>
      <c r="D49" s="6">
        <v>41</v>
      </c>
      <c r="E49" t="str">
        <f>A49&amp;"-"&amp;UPPER(LEFT(SUBSTITUTE(C49," ",""),2))&amp;"-"&amp;D49</f>
        <v>FA-12-JE-41</v>
      </c>
      <c r="H49" t="str">
        <f>IF(OR(F49="",G49=""),"",MAX(0,F49-G49))</f>
        <v/>
      </c>
      <c r="I49" s="6">
        <v>2</v>
      </c>
      <c r="J49" t="str">
        <f>IF(H49="","Not Set",IF(H49=0,"Out of Stock",IF(H49&lt;=I49,"Low Stock","In Stock")))</f>
        <v>Not Set</v>
      </c>
    </row>
    <row r="50" spans="1:10">
      <c r="A50" t="s">
        <v>100</v>
      </c>
      <c r="B50" t="s">
        <v>101</v>
      </c>
      <c r="C50" t="s">
        <v>36</v>
      </c>
      <c r="D50" s="6">
        <v>38</v>
      </c>
      <c r="E50" t="str">
        <f>A50&amp;"-"&amp;UPPER(LEFT(SUBSTITUTE(C50," ",""),2))&amp;"-"&amp;D50</f>
        <v>FB-01-WA-38</v>
      </c>
      <c r="H50" t="str">
        <f>IF(OR(F50="",G50=""),"",MAX(0,F50-G50))</f>
        <v/>
      </c>
      <c r="I50" s="6">
        <v>2</v>
      </c>
      <c r="J50" t="str">
        <f>IF(H50="","Not Set",IF(H50=0,"Out of Stock",IF(H50&lt;=I50,"Low Stock","In Stock")))</f>
        <v>Not Set</v>
      </c>
    </row>
    <row r="51" spans="1:10">
      <c r="A51" t="s">
        <v>100</v>
      </c>
      <c r="B51" t="s">
        <v>101</v>
      </c>
      <c r="C51" t="s">
        <v>36</v>
      </c>
      <c r="D51" s="6">
        <v>39</v>
      </c>
      <c r="E51" t="str">
        <f>A51&amp;"-"&amp;UPPER(LEFT(SUBSTITUTE(C51," ",""),2))&amp;"-"&amp;D51</f>
        <v>FB-01-WA-39</v>
      </c>
      <c r="H51" t="str">
        <f>IF(OR(F51="",G51=""),"",MAX(0,F51-G51))</f>
        <v/>
      </c>
      <c r="I51" s="6">
        <v>2</v>
      </c>
      <c r="J51" t="str">
        <f>IF(H51="","Not Set",IF(H51=0,"Out of Stock",IF(H51&lt;=I51,"Low Stock","In Stock")))</f>
        <v>Not Set</v>
      </c>
    </row>
    <row r="52" spans="1:10">
      <c r="A52" t="s">
        <v>100</v>
      </c>
      <c r="B52" t="s">
        <v>101</v>
      </c>
      <c r="C52" t="s">
        <v>36</v>
      </c>
      <c r="D52" s="6">
        <v>40</v>
      </c>
      <c r="E52" t="str">
        <f>A52&amp;"-"&amp;UPPER(LEFT(SUBSTITUTE(C52," ",""),2))&amp;"-"&amp;D52</f>
        <v>FB-01-WA-40</v>
      </c>
      <c r="H52" t="str">
        <f>IF(OR(F52="",G52=""),"",MAX(0,F52-G52))</f>
        <v/>
      </c>
      <c r="I52" s="6">
        <v>2</v>
      </c>
      <c r="J52" t="str">
        <f>IF(H52="","Not Set",IF(H52=0,"Out of Stock",IF(H52&lt;=I52,"Low Stock","In Stock")))</f>
        <v>Not Set</v>
      </c>
    </row>
    <row r="53" spans="1:10">
      <c r="A53" t="s">
        <v>100</v>
      </c>
      <c r="B53" t="s">
        <v>101</v>
      </c>
      <c r="C53" t="s">
        <v>36</v>
      </c>
      <c r="D53" s="6">
        <v>41</v>
      </c>
      <c r="E53" t="str">
        <f>A53&amp;"-"&amp;UPPER(LEFT(SUBSTITUTE(C53," ",""),2))&amp;"-"&amp;D53</f>
        <v>FB-01-WA-41</v>
      </c>
      <c r="H53" t="str">
        <f>IF(OR(F53="",G53=""),"",MAX(0,F53-G53))</f>
        <v/>
      </c>
      <c r="I53" s="6">
        <v>2</v>
      </c>
      <c r="J53" t="str">
        <f>IF(H53="","Not Set",IF(H53=0,"Out of Stock",IF(H53&lt;=I53,"Low Stock","In Stock")))</f>
        <v>Not Set</v>
      </c>
    </row>
    <row r="54" spans="1:10">
      <c r="A54" t="s">
        <v>105</v>
      </c>
      <c r="B54" t="s">
        <v>106</v>
      </c>
      <c r="C54" t="s">
        <v>109</v>
      </c>
      <c r="D54" s="6">
        <v>38</v>
      </c>
      <c r="E54" t="str">
        <f>A54&amp;"-"&amp;UPPER(LEFT(SUBSTITUTE(C54," ",""),2))&amp;"-"&amp;D54</f>
        <v>FB-02-DU-38</v>
      </c>
      <c r="H54" t="str">
        <f>IF(OR(F54="",G54=""),"",MAX(0,F54-G54))</f>
        <v/>
      </c>
      <c r="I54" s="6">
        <v>2</v>
      </c>
      <c r="J54" t="str">
        <f>IF(H54="","Not Set",IF(H54=0,"Out of Stock",IF(H54&lt;=I54,"Low Stock","In Stock")))</f>
        <v>Not Set</v>
      </c>
    </row>
    <row r="55" spans="1:10">
      <c r="A55" t="s">
        <v>105</v>
      </c>
      <c r="B55" t="s">
        <v>106</v>
      </c>
      <c r="C55" t="s">
        <v>109</v>
      </c>
      <c r="D55" s="6">
        <v>39</v>
      </c>
      <c r="E55" t="str">
        <f>A55&amp;"-"&amp;UPPER(LEFT(SUBSTITUTE(C55," ",""),2))&amp;"-"&amp;D55</f>
        <v>FB-02-DU-39</v>
      </c>
      <c r="H55" t="str">
        <f>IF(OR(F55="",G55=""),"",MAX(0,F55-G55))</f>
        <v/>
      </c>
      <c r="I55" s="6">
        <v>2</v>
      </c>
      <c r="J55" t="str">
        <f>IF(H55="","Not Set",IF(H55=0,"Out of Stock",IF(H55&lt;=I55,"Low Stock","In Stock")))</f>
        <v>Not Set</v>
      </c>
    </row>
    <row r="56" spans="1:10">
      <c r="A56" t="s">
        <v>105</v>
      </c>
      <c r="B56" t="s">
        <v>106</v>
      </c>
      <c r="C56" t="s">
        <v>109</v>
      </c>
      <c r="D56" s="6">
        <v>40</v>
      </c>
      <c r="E56" t="str">
        <f>A56&amp;"-"&amp;UPPER(LEFT(SUBSTITUTE(C56," ",""),2))&amp;"-"&amp;D56</f>
        <v>FB-02-DU-40</v>
      </c>
      <c r="H56" t="str">
        <f>IF(OR(F56="",G56=""),"",MAX(0,F56-G56))</f>
        <v/>
      </c>
      <c r="I56" s="6">
        <v>2</v>
      </c>
      <c r="J56" t="str">
        <f>IF(H56="","Not Set",IF(H56=0,"Out of Stock",IF(H56&lt;=I56,"Low Stock","In Stock")))</f>
        <v>Not Set</v>
      </c>
    </row>
    <row r="57" spans="1:10">
      <c r="A57" t="s">
        <v>105</v>
      </c>
      <c r="B57" t="s">
        <v>106</v>
      </c>
      <c r="C57" t="s">
        <v>109</v>
      </c>
      <c r="D57" s="6">
        <v>41</v>
      </c>
      <c r="E57" t="str">
        <f>A57&amp;"-"&amp;UPPER(LEFT(SUBSTITUTE(C57," ",""),2))&amp;"-"&amp;D57</f>
        <v>FB-02-DU-41</v>
      </c>
      <c r="H57" t="str">
        <f>IF(OR(F57="",G57=""),"",MAX(0,F57-G57))</f>
        <v/>
      </c>
      <c r="I57" s="6">
        <v>2</v>
      </c>
      <c r="J57" t="str">
        <f>IF(H57="","Not Set",IF(H57=0,"Out of Stock",IF(H57&lt;=I57,"Low Stock","In Stock")))</f>
        <v>Not Set</v>
      </c>
    </row>
    <row r="58" spans="1:10">
      <c r="A58" t="s">
        <v>110</v>
      </c>
      <c r="B58" t="s">
        <v>111</v>
      </c>
      <c r="C58" t="s">
        <v>62</v>
      </c>
      <c r="D58" s="6">
        <v>38</v>
      </c>
      <c r="E58" t="str">
        <f>A58&amp;"-"&amp;UPPER(LEFT(SUBSTITUTE(C58," ",""),2))&amp;"-"&amp;D58</f>
        <v>FB-03-PE-38</v>
      </c>
      <c r="H58" t="str">
        <f>IF(OR(F58="",G58=""),"",MAX(0,F58-G58))</f>
        <v/>
      </c>
      <c r="I58" s="6">
        <v>2</v>
      </c>
      <c r="J58" t="str">
        <f>IF(H58="","Not Set",IF(H58=0,"Out of Stock",IF(H58&lt;=I58,"Low Stock","In Stock")))</f>
        <v>Not Set</v>
      </c>
    </row>
    <row r="59" spans="1:10">
      <c r="A59" t="s">
        <v>110</v>
      </c>
      <c r="B59" t="s">
        <v>111</v>
      </c>
      <c r="C59" t="s">
        <v>62</v>
      </c>
      <c r="D59" s="6">
        <v>39</v>
      </c>
      <c r="E59" t="str">
        <f>A59&amp;"-"&amp;UPPER(LEFT(SUBSTITUTE(C59," ",""),2))&amp;"-"&amp;D59</f>
        <v>FB-03-PE-39</v>
      </c>
      <c r="H59" t="str">
        <f>IF(OR(F59="",G59=""),"",MAX(0,F59-G59))</f>
        <v/>
      </c>
      <c r="I59" s="6">
        <v>2</v>
      </c>
      <c r="J59" t="str">
        <f>IF(H59="","Not Set",IF(H59=0,"Out of Stock",IF(H59&lt;=I59,"Low Stock","In Stock")))</f>
        <v>Not Set</v>
      </c>
    </row>
    <row r="60" spans="1:10">
      <c r="A60" t="s">
        <v>110</v>
      </c>
      <c r="B60" t="s">
        <v>111</v>
      </c>
      <c r="C60" t="s">
        <v>62</v>
      </c>
      <c r="D60" s="6">
        <v>40</v>
      </c>
      <c r="E60" t="str">
        <f>A60&amp;"-"&amp;UPPER(LEFT(SUBSTITUTE(C60," ",""),2))&amp;"-"&amp;D60</f>
        <v>FB-03-PE-40</v>
      </c>
      <c r="H60" t="str">
        <f>IF(OR(F60="",G60=""),"",MAX(0,F60-G60))</f>
        <v/>
      </c>
      <c r="I60" s="6">
        <v>2</v>
      </c>
      <c r="J60" t="str">
        <f>IF(H60="","Not Set",IF(H60=0,"Out of Stock",IF(H60&lt;=I60,"Low Stock","In Stock")))</f>
        <v>Not Set</v>
      </c>
    </row>
    <row r="61" spans="1:10">
      <c r="A61" t="s">
        <v>110</v>
      </c>
      <c r="B61" t="s">
        <v>111</v>
      </c>
      <c r="C61" t="s">
        <v>62</v>
      </c>
      <c r="D61" s="6">
        <v>41</v>
      </c>
      <c r="E61" t="str">
        <f>A61&amp;"-"&amp;UPPER(LEFT(SUBSTITUTE(C61," ",""),2))&amp;"-"&amp;D61</f>
        <v>FB-03-PE-41</v>
      </c>
      <c r="H61" t="str">
        <f>IF(OR(F61="",G61=""),"",MAX(0,F61-G61))</f>
        <v/>
      </c>
      <c r="I61" s="6">
        <v>2</v>
      </c>
      <c r="J61" t="str">
        <f>IF(H61="","Not Set",IF(H61=0,"Out of Stock",IF(H61&lt;=I61,"Low Stock","In Stock")))</f>
        <v>Not Set</v>
      </c>
    </row>
    <row r="62" spans="1:10">
      <c r="A62" t="s">
        <v>114</v>
      </c>
      <c r="B62" t="s">
        <v>115</v>
      </c>
      <c r="C62" t="s">
        <v>117</v>
      </c>
      <c r="D62" s="6">
        <v>38</v>
      </c>
      <c r="E62" t="str">
        <f>A62&amp;"-"&amp;UPPER(LEFT(SUBSTITUTE(C62," ",""),2))&amp;"-"&amp;D62</f>
        <v>FB-04-BU-38</v>
      </c>
      <c r="H62" t="str">
        <f>IF(OR(F62="",G62=""),"",MAX(0,F62-G62))</f>
        <v/>
      </c>
      <c r="I62" s="6">
        <v>2</v>
      </c>
      <c r="J62" t="str">
        <f>IF(H62="","Not Set",IF(H62=0,"Out of Stock",IF(H62&lt;=I62,"Low Stock","In Stock")))</f>
        <v>Not Set</v>
      </c>
    </row>
    <row r="63" spans="1:10">
      <c r="A63" t="s">
        <v>114</v>
      </c>
      <c r="B63" t="s">
        <v>115</v>
      </c>
      <c r="C63" t="s">
        <v>117</v>
      </c>
      <c r="D63" s="6">
        <v>39</v>
      </c>
      <c r="E63" t="str">
        <f>A63&amp;"-"&amp;UPPER(LEFT(SUBSTITUTE(C63," ",""),2))&amp;"-"&amp;D63</f>
        <v>FB-04-BU-39</v>
      </c>
      <c r="H63" t="str">
        <f>IF(OR(F63="",G63=""),"",MAX(0,F63-G63))</f>
        <v/>
      </c>
      <c r="I63" s="6">
        <v>2</v>
      </c>
      <c r="J63" t="str">
        <f>IF(H63="","Not Set",IF(H63=0,"Out of Stock",IF(H63&lt;=I63,"Low Stock","In Stock")))</f>
        <v>Not Set</v>
      </c>
    </row>
    <row r="64" spans="1:10">
      <c r="A64" t="s">
        <v>114</v>
      </c>
      <c r="B64" t="s">
        <v>115</v>
      </c>
      <c r="C64" t="s">
        <v>117</v>
      </c>
      <c r="D64" s="6">
        <v>40</v>
      </c>
      <c r="E64" t="str">
        <f>A64&amp;"-"&amp;UPPER(LEFT(SUBSTITUTE(C64," ",""),2))&amp;"-"&amp;D64</f>
        <v>FB-04-BU-40</v>
      </c>
      <c r="H64" t="str">
        <f>IF(OR(F64="",G64=""),"",MAX(0,F64-G64))</f>
        <v/>
      </c>
      <c r="I64" s="6">
        <v>2</v>
      </c>
      <c r="J64" t="str">
        <f>IF(H64="","Not Set",IF(H64=0,"Out of Stock",IF(H64&lt;=I64,"Low Stock","In Stock")))</f>
        <v>Not Set</v>
      </c>
    </row>
    <row r="65" spans="1:10">
      <c r="A65" t="s">
        <v>114</v>
      </c>
      <c r="B65" t="s">
        <v>115</v>
      </c>
      <c r="C65" t="s">
        <v>117</v>
      </c>
      <c r="D65" s="6">
        <v>41</v>
      </c>
      <c r="E65" t="str">
        <f>A65&amp;"-"&amp;UPPER(LEFT(SUBSTITUTE(C65," ",""),2))&amp;"-"&amp;D65</f>
        <v>FB-04-BU-41</v>
      </c>
      <c r="H65" t="str">
        <f>IF(OR(F65="",G65=""),"",MAX(0,F65-G65))</f>
        <v/>
      </c>
      <c r="I65" s="6">
        <v>2</v>
      </c>
      <c r="J65" t="str">
        <f>IF(H65="","Not Set",IF(H65=0,"Out of Stock",IF(H65&lt;=I65,"Low Stock","In Stock")))</f>
        <v>Not Set</v>
      </c>
    </row>
    <row r="66" spans="1:10">
      <c r="A66" t="s">
        <v>119</v>
      </c>
      <c r="B66" t="s">
        <v>120</v>
      </c>
      <c r="C66" t="s">
        <v>123</v>
      </c>
      <c r="D66" s="6">
        <v>38</v>
      </c>
      <c r="E66" t="str">
        <f>A66&amp;"-"&amp;UPPER(LEFT(SUBSTITUTE(C66," ",""),2))&amp;"-"&amp;D66</f>
        <v>FB-05-SO-38</v>
      </c>
      <c r="H66" t="str">
        <f>IF(OR(F66="",G66=""),"",MAX(0,F66-G66))</f>
        <v/>
      </c>
      <c r="I66" s="6">
        <v>2</v>
      </c>
      <c r="J66" t="str">
        <f>IF(H66="","Not Set",IF(H66=0,"Out of Stock",IF(H66&lt;=I66,"Low Stock","In Stock")))</f>
        <v>Not Set</v>
      </c>
    </row>
    <row r="67" spans="1:10">
      <c r="A67" t="s">
        <v>119</v>
      </c>
      <c r="B67" t="s">
        <v>120</v>
      </c>
      <c r="C67" t="s">
        <v>123</v>
      </c>
      <c r="D67" s="6">
        <v>39</v>
      </c>
      <c r="E67" t="str">
        <f>A67&amp;"-"&amp;UPPER(LEFT(SUBSTITUTE(C67," ",""),2))&amp;"-"&amp;D67</f>
        <v>FB-05-SO-39</v>
      </c>
      <c r="H67" t="str">
        <f>IF(OR(F67="",G67=""),"",MAX(0,F67-G67))</f>
        <v/>
      </c>
      <c r="I67" s="6">
        <v>2</v>
      </c>
      <c r="J67" t="str">
        <f>IF(H67="","Not Set",IF(H67=0,"Out of Stock",IF(H67&lt;=I67,"Low Stock","In Stock")))</f>
        <v>Not Set</v>
      </c>
    </row>
    <row r="68" spans="1:10">
      <c r="A68" t="s">
        <v>119</v>
      </c>
      <c r="B68" t="s">
        <v>120</v>
      </c>
      <c r="C68" t="s">
        <v>123</v>
      </c>
      <c r="D68" s="6">
        <v>40</v>
      </c>
      <c r="E68" t="str">
        <f>A68&amp;"-"&amp;UPPER(LEFT(SUBSTITUTE(C68," ",""),2))&amp;"-"&amp;D68</f>
        <v>FB-05-SO-40</v>
      </c>
      <c r="H68" t="str">
        <f>IF(OR(F68="",G68=""),"",MAX(0,F68-G68))</f>
        <v/>
      </c>
      <c r="I68" s="6">
        <v>2</v>
      </c>
      <c r="J68" t="str">
        <f>IF(H68="","Not Set",IF(H68=0,"Out of Stock",IF(H68&lt;=I68,"Low Stock","In Stock")))</f>
        <v>Not Set</v>
      </c>
    </row>
    <row r="69" spans="1:10">
      <c r="A69" t="s">
        <v>119</v>
      </c>
      <c r="B69" t="s">
        <v>120</v>
      </c>
      <c r="C69" t="s">
        <v>123</v>
      </c>
      <c r="D69" s="6">
        <v>41</v>
      </c>
      <c r="E69" t="str">
        <f>A69&amp;"-"&amp;UPPER(LEFT(SUBSTITUTE(C69," ",""),2))&amp;"-"&amp;D69</f>
        <v>FB-05-SO-41</v>
      </c>
      <c r="H69" t="str">
        <f>IF(OR(F69="",G69=""),"",MAX(0,F69-G69))</f>
        <v/>
      </c>
      <c r="I69" s="6">
        <v>2</v>
      </c>
      <c r="J69" t="str">
        <f>IF(H69="","Not Set",IF(H69=0,"Out of Stock",IF(H69&lt;=I69,"Low Stock","In Stock")))</f>
        <v>Not Set</v>
      </c>
    </row>
    <row r="70" spans="1:10">
      <c r="A70" t="s">
        <v>126</v>
      </c>
      <c r="B70" t="s">
        <v>127</v>
      </c>
      <c r="C70" t="s">
        <v>129</v>
      </c>
      <c r="D70" s="6">
        <v>38</v>
      </c>
      <c r="E70" t="str">
        <f>A70&amp;"-"&amp;UPPER(LEFT(SUBSTITUTE(C70," ",""),2))&amp;"-"&amp;D70</f>
        <v>FB-06-TR-38</v>
      </c>
      <c r="H70" t="str">
        <f>IF(OR(F70="",G70=""),"",MAX(0,F70-G70))</f>
        <v/>
      </c>
      <c r="I70" s="6">
        <v>2</v>
      </c>
      <c r="J70" t="str">
        <f>IF(H70="","Not Set",IF(H70=0,"Out of Stock",IF(H70&lt;=I70,"Low Stock","In Stock")))</f>
        <v>Not Set</v>
      </c>
    </row>
    <row r="71" spans="1:10">
      <c r="A71" t="s">
        <v>126</v>
      </c>
      <c r="B71" t="s">
        <v>127</v>
      </c>
      <c r="C71" t="s">
        <v>129</v>
      </c>
      <c r="D71" s="6">
        <v>39</v>
      </c>
      <c r="E71" t="str">
        <f>A71&amp;"-"&amp;UPPER(LEFT(SUBSTITUTE(C71," ",""),2))&amp;"-"&amp;D71</f>
        <v>FB-06-TR-39</v>
      </c>
      <c r="H71" t="str">
        <f>IF(OR(F71="",G71=""),"",MAX(0,F71-G71))</f>
        <v/>
      </c>
      <c r="I71" s="6">
        <v>2</v>
      </c>
      <c r="J71" t="str">
        <f>IF(H71="","Not Set",IF(H71=0,"Out of Stock",IF(H71&lt;=I71,"Low Stock","In Stock")))</f>
        <v>Not Set</v>
      </c>
    </row>
    <row r="72" spans="1:10">
      <c r="A72" t="s">
        <v>126</v>
      </c>
      <c r="B72" t="s">
        <v>127</v>
      </c>
      <c r="C72" t="s">
        <v>129</v>
      </c>
      <c r="D72" s="6">
        <v>40</v>
      </c>
      <c r="E72" t="str">
        <f>A72&amp;"-"&amp;UPPER(LEFT(SUBSTITUTE(C72," ",""),2))&amp;"-"&amp;D72</f>
        <v>FB-06-TR-40</v>
      </c>
      <c r="H72" t="str">
        <f>IF(OR(F72="",G72=""),"",MAX(0,F72-G72))</f>
        <v/>
      </c>
      <c r="I72" s="6">
        <v>2</v>
      </c>
      <c r="J72" t="str">
        <f>IF(H72="","Not Set",IF(H72=0,"Out of Stock",IF(H72&lt;=I72,"Low Stock","In Stock")))</f>
        <v>Not Set</v>
      </c>
    </row>
    <row r="73" spans="1:10">
      <c r="A73" t="s">
        <v>126</v>
      </c>
      <c r="B73" t="s">
        <v>127</v>
      </c>
      <c r="C73" t="s">
        <v>129</v>
      </c>
      <c r="D73" s="6">
        <v>41</v>
      </c>
      <c r="E73" t="str">
        <f>A73&amp;"-"&amp;UPPER(LEFT(SUBSTITUTE(C73," ",""),2))&amp;"-"&amp;D73</f>
        <v>FB-06-TR-41</v>
      </c>
      <c r="H73" t="str">
        <f>IF(OR(F73="",G73=""),"",MAX(0,F73-G73))</f>
        <v/>
      </c>
      <c r="I73" s="6">
        <v>2</v>
      </c>
      <c r="J73" t="str">
        <f>IF(H73="","Not Set",IF(H73=0,"Out of Stock",IF(H73&lt;=I73,"Low Stock","In Stock")))</f>
        <v>Not Set</v>
      </c>
    </row>
    <row r="74" spans="1:10">
      <c r="A74" t="s">
        <v>131</v>
      </c>
      <c r="B74" t="s">
        <v>132</v>
      </c>
      <c r="C74" t="s">
        <v>68</v>
      </c>
      <c r="D74" s="6">
        <v>38</v>
      </c>
      <c r="E74" t="str">
        <f>A74&amp;"-"&amp;UPPER(LEFT(SUBSTITUTE(C74," ",""),2))&amp;"-"&amp;D74</f>
        <v>FB-07-CL-38</v>
      </c>
      <c r="H74" t="str">
        <f>IF(OR(F74="",G74=""),"",MAX(0,F74-G74))</f>
        <v/>
      </c>
      <c r="I74" s="6">
        <v>2</v>
      </c>
      <c r="J74" t="str">
        <f>IF(H74="","Not Set",IF(H74=0,"Out of Stock",IF(H74&lt;=I74,"Low Stock","In Stock")))</f>
        <v>Not Set</v>
      </c>
    </row>
    <row r="75" spans="1:10">
      <c r="A75" t="s">
        <v>131</v>
      </c>
      <c r="B75" t="s">
        <v>132</v>
      </c>
      <c r="C75" t="s">
        <v>68</v>
      </c>
      <c r="D75" s="6">
        <v>39</v>
      </c>
      <c r="E75" t="str">
        <f>A75&amp;"-"&amp;UPPER(LEFT(SUBSTITUTE(C75," ",""),2))&amp;"-"&amp;D75</f>
        <v>FB-07-CL-39</v>
      </c>
      <c r="H75" t="str">
        <f>IF(OR(F75="",G75=""),"",MAX(0,F75-G75))</f>
        <v/>
      </c>
      <c r="I75" s="6">
        <v>2</v>
      </c>
      <c r="J75" t="str">
        <f>IF(H75="","Not Set",IF(H75=0,"Out of Stock",IF(H75&lt;=I75,"Low Stock","In Stock")))</f>
        <v>Not Set</v>
      </c>
    </row>
    <row r="76" spans="1:10">
      <c r="A76" t="s">
        <v>131</v>
      </c>
      <c r="B76" t="s">
        <v>132</v>
      </c>
      <c r="C76" t="s">
        <v>68</v>
      </c>
      <c r="D76" s="6">
        <v>40</v>
      </c>
      <c r="E76" t="str">
        <f>A76&amp;"-"&amp;UPPER(LEFT(SUBSTITUTE(C76," ",""),2))&amp;"-"&amp;D76</f>
        <v>FB-07-CL-40</v>
      </c>
      <c r="H76" t="str">
        <f>IF(OR(F76="",G76=""),"",MAX(0,F76-G76))</f>
        <v/>
      </c>
      <c r="I76" s="6">
        <v>2</v>
      </c>
      <c r="J76" t="str">
        <f>IF(H76="","Not Set",IF(H76=0,"Out of Stock",IF(H76&lt;=I76,"Low Stock","In Stock")))</f>
        <v>Not Set</v>
      </c>
    </row>
    <row r="77" spans="1:10">
      <c r="A77" t="s">
        <v>131</v>
      </c>
      <c r="B77" t="s">
        <v>132</v>
      </c>
      <c r="C77" t="s">
        <v>68</v>
      </c>
      <c r="D77" s="6">
        <v>41</v>
      </c>
      <c r="E77" t="str">
        <f>A77&amp;"-"&amp;UPPER(LEFT(SUBSTITUTE(C77," ",""),2))&amp;"-"&amp;D77</f>
        <v>FB-07-CL-41</v>
      </c>
      <c r="H77" t="str">
        <f>IF(OR(F77="",G77=""),"",MAX(0,F77-G77))</f>
        <v/>
      </c>
      <c r="I77" s="6">
        <v>2</v>
      </c>
      <c r="J77" t="str">
        <f>IF(H77="","Not Set",IF(H77=0,"Out of Stock",IF(H77&lt;=I77,"Low Stock","In Stock")))</f>
        <v>Not Set</v>
      </c>
    </row>
    <row r="78" spans="1:10">
      <c r="A78" t="s">
        <v>135</v>
      </c>
      <c r="B78" t="s">
        <v>136</v>
      </c>
      <c r="C78" t="s">
        <v>78</v>
      </c>
      <c r="D78" s="6">
        <v>38</v>
      </c>
      <c r="E78" t="str">
        <f>A78&amp;"-"&amp;UPPER(LEFT(SUBSTITUTE(C78," ",""),2))&amp;"-"&amp;D78</f>
        <v>FB-08-PE-38</v>
      </c>
      <c r="H78" t="str">
        <f>IF(OR(F78="",G78=""),"",MAX(0,F78-G78))</f>
        <v/>
      </c>
      <c r="I78" s="6">
        <v>2</v>
      </c>
      <c r="J78" t="str">
        <f>IF(H78="","Not Set",IF(H78=0,"Out of Stock",IF(H78&lt;=I78,"Low Stock","In Stock")))</f>
        <v>Not Set</v>
      </c>
    </row>
    <row r="79" spans="1:10">
      <c r="A79" t="s">
        <v>135</v>
      </c>
      <c r="B79" t="s">
        <v>136</v>
      </c>
      <c r="C79" t="s">
        <v>78</v>
      </c>
      <c r="D79" s="6">
        <v>39</v>
      </c>
      <c r="E79" t="str">
        <f>A79&amp;"-"&amp;UPPER(LEFT(SUBSTITUTE(C79," ",""),2))&amp;"-"&amp;D79</f>
        <v>FB-08-PE-39</v>
      </c>
      <c r="H79" t="str">
        <f>IF(OR(F79="",G79=""),"",MAX(0,F79-G79))</f>
        <v/>
      </c>
      <c r="I79" s="6">
        <v>2</v>
      </c>
      <c r="J79" t="str">
        <f>IF(H79="","Not Set",IF(H79=0,"Out of Stock",IF(H79&lt;=I79,"Low Stock","In Stock")))</f>
        <v>Not Set</v>
      </c>
    </row>
    <row r="80" spans="1:10">
      <c r="A80" t="s">
        <v>135</v>
      </c>
      <c r="B80" t="s">
        <v>136</v>
      </c>
      <c r="C80" t="s">
        <v>78</v>
      </c>
      <c r="D80" s="6">
        <v>40</v>
      </c>
      <c r="E80" t="str">
        <f>A80&amp;"-"&amp;UPPER(LEFT(SUBSTITUTE(C80," ",""),2))&amp;"-"&amp;D80</f>
        <v>FB-08-PE-40</v>
      </c>
      <c r="H80" t="str">
        <f>IF(OR(F80="",G80=""),"",MAX(0,F80-G80))</f>
        <v/>
      </c>
      <c r="I80" s="6">
        <v>2</v>
      </c>
      <c r="J80" t="str">
        <f>IF(H80="","Not Set",IF(H80=0,"Out of Stock",IF(H80&lt;=I80,"Low Stock","In Stock")))</f>
        <v>Not Set</v>
      </c>
    </row>
    <row r="81" spans="1:10">
      <c r="A81" t="s">
        <v>135</v>
      </c>
      <c r="B81" t="s">
        <v>136</v>
      </c>
      <c r="C81" t="s">
        <v>78</v>
      </c>
      <c r="D81" s="6">
        <v>41</v>
      </c>
      <c r="E81" t="str">
        <f>A81&amp;"-"&amp;UPPER(LEFT(SUBSTITUTE(C81," ",""),2))&amp;"-"&amp;D81</f>
        <v>FB-08-PE-41</v>
      </c>
      <c r="H81" t="str">
        <f>IF(OR(F81="",G81=""),"",MAX(0,F81-G81))</f>
        <v/>
      </c>
      <c r="I81" s="6">
        <v>2</v>
      </c>
      <c r="J81" t="str">
        <f>IF(H81="","Not Set",IF(H81=0,"Out of Stock",IF(H81&lt;=I81,"Low Stock","In Stock")))</f>
        <v>Not Set</v>
      </c>
    </row>
    <row r="82" spans="1:10">
      <c r="A82" t="s">
        <v>139</v>
      </c>
      <c r="B82" t="s">
        <v>140</v>
      </c>
      <c r="C82" t="s">
        <v>142</v>
      </c>
      <c r="D82" s="6">
        <v>38</v>
      </c>
      <c r="E82" t="str">
        <f>A82&amp;"-"&amp;UPPER(LEFT(SUBSTITUTE(C82," ",""),2))&amp;"-"&amp;D82</f>
        <v>FB-09-CH-38</v>
      </c>
      <c r="H82" t="str">
        <f>IF(OR(F82="",G82=""),"",MAX(0,F82-G82))</f>
        <v/>
      </c>
      <c r="I82" s="6">
        <v>2</v>
      </c>
      <c r="J82" t="str">
        <f>IF(H82="","Not Set",IF(H82=0,"Out of Stock",IF(H82&lt;=I82,"Low Stock","In Stock")))</f>
        <v>Not Set</v>
      </c>
    </row>
    <row r="83" spans="1:10">
      <c r="A83" t="s">
        <v>139</v>
      </c>
      <c r="B83" t="s">
        <v>140</v>
      </c>
      <c r="C83" t="s">
        <v>142</v>
      </c>
      <c r="D83" s="6">
        <v>39</v>
      </c>
      <c r="E83" t="str">
        <f>A83&amp;"-"&amp;UPPER(LEFT(SUBSTITUTE(C83," ",""),2))&amp;"-"&amp;D83</f>
        <v>FB-09-CH-39</v>
      </c>
      <c r="H83" t="str">
        <f>IF(OR(F83="",G83=""),"",MAX(0,F83-G83))</f>
        <v/>
      </c>
      <c r="I83" s="6">
        <v>2</v>
      </c>
      <c r="J83" t="str">
        <f>IF(H83="","Not Set",IF(H83=0,"Out of Stock",IF(H83&lt;=I83,"Low Stock","In Stock")))</f>
        <v>Not Set</v>
      </c>
    </row>
    <row r="84" spans="1:10">
      <c r="A84" t="s">
        <v>139</v>
      </c>
      <c r="B84" t="s">
        <v>140</v>
      </c>
      <c r="C84" t="s">
        <v>142</v>
      </c>
      <c r="D84" s="6">
        <v>40</v>
      </c>
      <c r="E84" t="str">
        <f>A84&amp;"-"&amp;UPPER(LEFT(SUBSTITUTE(C84," ",""),2))&amp;"-"&amp;D84</f>
        <v>FB-09-CH-40</v>
      </c>
      <c r="H84" t="str">
        <f>IF(OR(F84="",G84=""),"",MAX(0,F84-G84))</f>
        <v/>
      </c>
      <c r="I84" s="6">
        <v>2</v>
      </c>
      <c r="J84" t="str">
        <f>IF(H84="","Not Set",IF(H84=0,"Out of Stock",IF(H84&lt;=I84,"Low Stock","In Stock")))</f>
        <v>Not Set</v>
      </c>
    </row>
    <row r="85" spans="1:10">
      <c r="A85" t="s">
        <v>139</v>
      </c>
      <c r="B85" t="s">
        <v>140</v>
      </c>
      <c r="C85" t="s">
        <v>142</v>
      </c>
      <c r="D85" s="6">
        <v>41</v>
      </c>
      <c r="E85" t="str">
        <f>A85&amp;"-"&amp;UPPER(LEFT(SUBSTITUTE(C85," ",""),2))&amp;"-"&amp;D85</f>
        <v>FB-09-CH-41</v>
      </c>
      <c r="H85" t="str">
        <f>IF(OR(F85="",G85=""),"",MAX(0,F85-G85))</f>
        <v/>
      </c>
      <c r="I85" s="6">
        <v>2</v>
      </c>
      <c r="J85" t="str">
        <f>IF(H85="","Not Set",IF(H85=0,"Out of Stock",IF(H85&lt;=I85,"Low Stock","In Stock")))</f>
        <v>Not Set</v>
      </c>
    </row>
    <row r="86" spans="1:10">
      <c r="A86" t="s">
        <v>144</v>
      </c>
      <c r="B86" t="s">
        <v>145</v>
      </c>
      <c r="C86" t="s">
        <v>147</v>
      </c>
      <c r="D86" s="6">
        <v>38</v>
      </c>
      <c r="E86" t="str">
        <f>A86&amp;"-"&amp;UPPER(LEFT(SUBSTITUTE(C86," ",""),2))&amp;"-"&amp;D86</f>
        <v>FB-10-CR-38</v>
      </c>
      <c r="H86" t="str">
        <f>IF(OR(F86="",G86=""),"",MAX(0,F86-G86))</f>
        <v/>
      </c>
      <c r="I86" s="6">
        <v>2</v>
      </c>
      <c r="J86" t="str">
        <f>IF(H86="","Not Set",IF(H86=0,"Out of Stock",IF(H86&lt;=I86,"Low Stock","In Stock")))</f>
        <v>Not Set</v>
      </c>
    </row>
    <row r="87" spans="1:10">
      <c r="A87" t="s">
        <v>144</v>
      </c>
      <c r="B87" t="s">
        <v>145</v>
      </c>
      <c r="C87" t="s">
        <v>147</v>
      </c>
      <c r="D87" s="6">
        <v>39</v>
      </c>
      <c r="E87" t="str">
        <f>A87&amp;"-"&amp;UPPER(LEFT(SUBSTITUTE(C87," ",""),2))&amp;"-"&amp;D87</f>
        <v>FB-10-CR-39</v>
      </c>
      <c r="H87" t="str">
        <f>IF(OR(F87="",G87=""),"",MAX(0,F87-G87))</f>
        <v/>
      </c>
      <c r="I87" s="6">
        <v>2</v>
      </c>
      <c r="J87" t="str">
        <f>IF(H87="","Not Set",IF(H87=0,"Out of Stock",IF(H87&lt;=I87,"Low Stock","In Stock")))</f>
        <v>Not Set</v>
      </c>
    </row>
    <row r="88" spans="1:10">
      <c r="A88" t="s">
        <v>144</v>
      </c>
      <c r="B88" t="s">
        <v>145</v>
      </c>
      <c r="C88" t="s">
        <v>147</v>
      </c>
      <c r="D88" s="6">
        <v>40</v>
      </c>
      <c r="E88" t="str">
        <f>A88&amp;"-"&amp;UPPER(LEFT(SUBSTITUTE(C88," ",""),2))&amp;"-"&amp;D88</f>
        <v>FB-10-CR-40</v>
      </c>
      <c r="H88" t="str">
        <f>IF(OR(F88="",G88=""),"",MAX(0,F88-G88))</f>
        <v/>
      </c>
      <c r="I88" s="6">
        <v>2</v>
      </c>
      <c r="J88" t="str">
        <f>IF(H88="","Not Set",IF(H88=0,"Out of Stock",IF(H88&lt;=I88,"Low Stock","In Stock")))</f>
        <v>Not Set</v>
      </c>
    </row>
    <row r="89" spans="1:10">
      <c r="A89" t="s">
        <v>144</v>
      </c>
      <c r="B89" t="s">
        <v>145</v>
      </c>
      <c r="C89" t="s">
        <v>147</v>
      </c>
      <c r="D89" s="6">
        <v>41</v>
      </c>
      <c r="E89" t="str">
        <f>A89&amp;"-"&amp;UPPER(LEFT(SUBSTITUTE(C89," ",""),2))&amp;"-"&amp;D89</f>
        <v>FB-10-CR-41</v>
      </c>
      <c r="H89" t="str">
        <f>IF(OR(F89="",G89=""),"",MAX(0,F89-G89))</f>
        <v/>
      </c>
      <c r="I89" s="6">
        <v>2</v>
      </c>
      <c r="J89" t="str">
        <f>IF(H89="","Not Set",IF(H89=0,"Out of Stock",IF(H89&lt;=I89,"Low Stock","In Stock")))</f>
        <v>Not Set</v>
      </c>
    </row>
    <row r="90" spans="1:10">
      <c r="A90" t="s">
        <v>149</v>
      </c>
      <c r="B90" t="s">
        <v>150</v>
      </c>
      <c r="C90" t="s">
        <v>152</v>
      </c>
      <c r="D90" s="6">
        <v>38</v>
      </c>
      <c r="E90" t="str">
        <f>A90&amp;"-"&amp;UPPER(LEFT(SUBSTITUTE(C90," ",""),2))&amp;"-"&amp;D90</f>
        <v>FM-01-SA-38</v>
      </c>
      <c r="H90" t="str">
        <f>IF(OR(F90="",G90=""),"",MAX(0,F90-G90))</f>
        <v/>
      </c>
      <c r="I90" s="6">
        <v>2</v>
      </c>
      <c r="J90" t="str">
        <f>IF(H90="","Not Set",IF(H90=0,"Out of Stock",IF(H90&lt;=I90,"Low Stock","In Stock")))</f>
        <v>Not Set</v>
      </c>
    </row>
    <row r="91" spans="1:10">
      <c r="A91" t="s">
        <v>149</v>
      </c>
      <c r="B91" t="s">
        <v>150</v>
      </c>
      <c r="C91" t="s">
        <v>152</v>
      </c>
      <c r="D91" s="6">
        <v>39</v>
      </c>
      <c r="E91" t="str">
        <f>A91&amp;"-"&amp;UPPER(LEFT(SUBSTITUTE(C91," ",""),2))&amp;"-"&amp;D91</f>
        <v>FM-01-SA-39</v>
      </c>
      <c r="H91" t="str">
        <f>IF(OR(F91="",G91=""),"",MAX(0,F91-G91))</f>
        <v/>
      </c>
      <c r="I91" s="6">
        <v>2</v>
      </c>
      <c r="J91" t="str">
        <f>IF(H91="","Not Set",IF(H91=0,"Out of Stock",IF(H91&lt;=I91,"Low Stock","In Stock")))</f>
        <v>Not Set</v>
      </c>
    </row>
    <row r="92" spans="1:10">
      <c r="A92" t="s">
        <v>149</v>
      </c>
      <c r="B92" t="s">
        <v>150</v>
      </c>
      <c r="C92" t="s">
        <v>152</v>
      </c>
      <c r="D92" s="6">
        <v>40</v>
      </c>
      <c r="E92" t="str">
        <f>A92&amp;"-"&amp;UPPER(LEFT(SUBSTITUTE(C92," ",""),2))&amp;"-"&amp;D92</f>
        <v>FM-01-SA-40</v>
      </c>
      <c r="H92" t="str">
        <f>IF(OR(F92="",G92=""),"",MAX(0,F92-G92))</f>
        <v/>
      </c>
      <c r="I92" s="6">
        <v>2</v>
      </c>
      <c r="J92" t="str">
        <f>IF(H92="","Not Set",IF(H92=0,"Out of Stock",IF(H92&lt;=I92,"Low Stock","In Stock")))</f>
        <v>Not Set</v>
      </c>
    </row>
    <row r="93" spans="1:10">
      <c r="A93" t="s">
        <v>149</v>
      </c>
      <c r="B93" t="s">
        <v>150</v>
      </c>
      <c r="C93" t="s">
        <v>152</v>
      </c>
      <c r="D93" s="6">
        <v>41</v>
      </c>
      <c r="E93" t="str">
        <f>A93&amp;"-"&amp;UPPER(LEFT(SUBSTITUTE(C93," ",""),2))&amp;"-"&amp;D93</f>
        <v>FM-01-SA-41</v>
      </c>
      <c r="H93" t="str">
        <f>IF(OR(F93="",G93=""),"",MAX(0,F93-G93))</f>
        <v/>
      </c>
      <c r="I93" s="6">
        <v>2</v>
      </c>
      <c r="J93" t="str">
        <f>IF(H93="","Not Set",IF(H93=0,"Out of Stock",IF(H93&lt;=I93,"Low Stock","In Stock")))</f>
        <v>Not Set</v>
      </c>
    </row>
    <row r="94" spans="1:10">
      <c r="A94" t="s">
        <v>154</v>
      </c>
      <c r="B94" t="s">
        <v>155</v>
      </c>
      <c r="C94" t="s">
        <v>157</v>
      </c>
      <c r="D94" s="6">
        <v>38</v>
      </c>
      <c r="E94" t="str">
        <f>A94&amp;"-"&amp;UPPER(LEFT(SUBSTITUTE(C94," ",""),2))&amp;"-"&amp;D94</f>
        <v>FM-02-SO-38</v>
      </c>
      <c r="H94" t="str">
        <f>IF(OR(F94="",G94=""),"",MAX(0,F94-G94))</f>
        <v/>
      </c>
      <c r="I94" s="6">
        <v>2</v>
      </c>
      <c r="J94" t="str">
        <f>IF(H94="","Not Set",IF(H94=0,"Out of Stock",IF(H94&lt;=I94,"Low Stock","In Stock")))</f>
        <v>Not Set</v>
      </c>
    </row>
    <row r="95" spans="1:10">
      <c r="A95" t="s">
        <v>154</v>
      </c>
      <c r="B95" t="s">
        <v>155</v>
      </c>
      <c r="C95" t="s">
        <v>157</v>
      </c>
      <c r="D95" s="6">
        <v>39</v>
      </c>
      <c r="E95" t="str">
        <f>A95&amp;"-"&amp;UPPER(LEFT(SUBSTITUTE(C95," ",""),2))&amp;"-"&amp;D95</f>
        <v>FM-02-SO-39</v>
      </c>
      <c r="H95" t="str">
        <f>IF(OR(F95="",G95=""),"",MAX(0,F95-G95))</f>
        <v/>
      </c>
      <c r="I95" s="6">
        <v>2</v>
      </c>
      <c r="J95" t="str">
        <f>IF(H95="","Not Set",IF(H95=0,"Out of Stock",IF(H95&lt;=I95,"Low Stock","In Stock")))</f>
        <v>Not Set</v>
      </c>
    </row>
    <row r="96" spans="1:10">
      <c r="A96" t="s">
        <v>154</v>
      </c>
      <c r="B96" t="s">
        <v>155</v>
      </c>
      <c r="C96" t="s">
        <v>157</v>
      </c>
      <c r="D96" s="6">
        <v>40</v>
      </c>
      <c r="E96" t="str">
        <f>A96&amp;"-"&amp;UPPER(LEFT(SUBSTITUTE(C96," ",""),2))&amp;"-"&amp;D96</f>
        <v>FM-02-SO-40</v>
      </c>
      <c r="H96" t="str">
        <f>IF(OR(F96="",G96=""),"",MAX(0,F96-G96))</f>
        <v/>
      </c>
      <c r="I96" s="6">
        <v>2</v>
      </c>
      <c r="J96" t="str">
        <f>IF(H96="","Not Set",IF(H96=0,"Out of Stock",IF(H96&lt;=I96,"Low Stock","In Stock")))</f>
        <v>Not Set</v>
      </c>
    </row>
    <row r="97" spans="1:10">
      <c r="A97" t="s">
        <v>154</v>
      </c>
      <c r="B97" t="s">
        <v>155</v>
      </c>
      <c r="C97" t="s">
        <v>157</v>
      </c>
      <c r="D97" s="6">
        <v>41</v>
      </c>
      <c r="E97" t="str">
        <f>A97&amp;"-"&amp;UPPER(LEFT(SUBSTITUTE(C97," ",""),2))&amp;"-"&amp;D97</f>
        <v>FM-02-SO-41</v>
      </c>
      <c r="H97" t="str">
        <f>IF(OR(F97="",G97=""),"",MAX(0,F97-G97))</f>
        <v/>
      </c>
      <c r="I97" s="6">
        <v>2</v>
      </c>
      <c r="J97" t="str">
        <f>IF(H97="","Not Set",IF(H97=0,"Out of Stock",IF(H97&lt;=I97,"Low Stock","In Stock")))</f>
        <v>Not Set</v>
      </c>
    </row>
    <row r="98" spans="1:10">
      <c r="A98" t="s">
        <v>159</v>
      </c>
      <c r="B98" t="s">
        <v>160</v>
      </c>
      <c r="C98" t="s">
        <v>162</v>
      </c>
      <c r="D98" s="6">
        <v>38</v>
      </c>
      <c r="E98" t="str">
        <f>A98&amp;"-"&amp;UPPER(LEFT(SUBSTITUTE(C98," ",""),2))&amp;"-"&amp;D98</f>
        <v>FM-03-MO-38</v>
      </c>
      <c r="H98" t="str">
        <f>IF(OR(F98="",G98=""),"",MAX(0,F98-G98))</f>
        <v/>
      </c>
      <c r="I98" s="6">
        <v>2</v>
      </c>
      <c r="J98" t="str">
        <f>IF(H98="","Not Set",IF(H98=0,"Out of Stock",IF(H98&lt;=I98,"Low Stock","In Stock")))</f>
        <v>Not Set</v>
      </c>
    </row>
    <row r="99" spans="1:10">
      <c r="A99" t="s">
        <v>159</v>
      </c>
      <c r="B99" t="s">
        <v>160</v>
      </c>
      <c r="C99" t="s">
        <v>162</v>
      </c>
      <c r="D99" s="6">
        <v>39</v>
      </c>
      <c r="E99" t="str">
        <f>A99&amp;"-"&amp;UPPER(LEFT(SUBSTITUTE(C99," ",""),2))&amp;"-"&amp;D99</f>
        <v>FM-03-MO-39</v>
      </c>
      <c r="H99" t="str">
        <f>IF(OR(F99="",G99=""),"",MAX(0,F99-G99))</f>
        <v/>
      </c>
      <c r="I99" s="6">
        <v>2</v>
      </c>
      <c r="J99" t="str">
        <f>IF(H99="","Not Set",IF(H99=0,"Out of Stock",IF(H99&lt;=I99,"Low Stock","In Stock")))</f>
        <v>Not Set</v>
      </c>
    </row>
    <row r="100" spans="1:10">
      <c r="A100" t="s">
        <v>159</v>
      </c>
      <c r="B100" t="s">
        <v>160</v>
      </c>
      <c r="C100" t="s">
        <v>162</v>
      </c>
      <c r="D100" s="6">
        <v>40</v>
      </c>
      <c r="E100" t="str">
        <f>A100&amp;"-"&amp;UPPER(LEFT(SUBSTITUTE(C100," ",""),2))&amp;"-"&amp;D100</f>
        <v>FM-03-MO-40</v>
      </c>
      <c r="H100" t="str">
        <f>IF(OR(F100="",G100=""),"",MAX(0,F100-G100))</f>
        <v/>
      </c>
      <c r="I100" s="6">
        <v>2</v>
      </c>
      <c r="J100" t="str">
        <f>IF(H100="","Not Set",IF(H100=0,"Out of Stock",IF(H100&lt;=I100,"Low Stock","In Stock")))</f>
        <v>Not Set</v>
      </c>
    </row>
    <row r="101" spans="1:10">
      <c r="A101" t="s">
        <v>159</v>
      </c>
      <c r="B101" t="s">
        <v>160</v>
      </c>
      <c r="C101" t="s">
        <v>162</v>
      </c>
      <c r="D101" s="6">
        <v>41</v>
      </c>
      <c r="E101" t="str">
        <f>A101&amp;"-"&amp;UPPER(LEFT(SUBSTITUTE(C101," ",""),2))&amp;"-"&amp;D101</f>
        <v>FM-03-MO-41</v>
      </c>
      <c r="H101" t="str">
        <f>IF(OR(F101="",G101=""),"",MAX(0,F101-G101))</f>
        <v/>
      </c>
      <c r="I101" s="6">
        <v>2</v>
      </c>
      <c r="J101" t="str">
        <f>IF(H101="","Not Set",IF(H101=0,"Out of Stock",IF(H101&lt;=I101,"Low Stock","In Stock")))</f>
        <v>Not Set</v>
      </c>
    </row>
    <row r="102" spans="1:10">
      <c r="A102" t="s">
        <v>165</v>
      </c>
      <c r="B102" t="s">
        <v>166</v>
      </c>
      <c r="C102" t="s">
        <v>147</v>
      </c>
      <c r="D102" s="6">
        <v>38</v>
      </c>
      <c r="E102" t="str">
        <f>A102&amp;"-"&amp;UPPER(LEFT(SUBSTITUTE(C102," ",""),2))&amp;"-"&amp;D102</f>
        <v>FM-04-CR-38</v>
      </c>
      <c r="H102" t="str">
        <f>IF(OR(F102="",G102=""),"",MAX(0,F102-G102))</f>
        <v/>
      </c>
      <c r="I102" s="6">
        <v>2</v>
      </c>
      <c r="J102" t="str">
        <f>IF(H102="","Not Set",IF(H102=0,"Out of Stock",IF(H102&lt;=I102,"Low Stock","In Stock")))</f>
        <v>Not Set</v>
      </c>
    </row>
    <row r="103" spans="1:10">
      <c r="A103" t="s">
        <v>165</v>
      </c>
      <c r="B103" t="s">
        <v>166</v>
      </c>
      <c r="C103" t="s">
        <v>147</v>
      </c>
      <c r="D103" s="6">
        <v>39</v>
      </c>
      <c r="E103" t="str">
        <f>A103&amp;"-"&amp;UPPER(LEFT(SUBSTITUTE(C103," ",""),2))&amp;"-"&amp;D103</f>
        <v>FM-04-CR-39</v>
      </c>
      <c r="H103" t="str">
        <f>IF(OR(F103="",G103=""),"",MAX(0,F103-G103))</f>
        <v/>
      </c>
      <c r="I103" s="6">
        <v>2</v>
      </c>
      <c r="J103" t="str">
        <f>IF(H103="","Not Set",IF(H103=0,"Out of Stock",IF(H103&lt;=I103,"Low Stock","In Stock")))</f>
        <v>Not Set</v>
      </c>
    </row>
    <row r="104" spans="1:10">
      <c r="A104" t="s">
        <v>165</v>
      </c>
      <c r="B104" t="s">
        <v>166</v>
      </c>
      <c r="C104" t="s">
        <v>147</v>
      </c>
      <c r="D104" s="6">
        <v>40</v>
      </c>
      <c r="E104" t="str">
        <f>A104&amp;"-"&amp;UPPER(LEFT(SUBSTITUTE(C104," ",""),2))&amp;"-"&amp;D104</f>
        <v>FM-04-CR-40</v>
      </c>
      <c r="H104" t="str">
        <f>IF(OR(F104="",G104=""),"",MAX(0,F104-G104))</f>
        <v/>
      </c>
      <c r="I104" s="6">
        <v>2</v>
      </c>
      <c r="J104" t="str">
        <f>IF(H104="","Not Set",IF(H104=0,"Out of Stock",IF(H104&lt;=I104,"Low Stock","In Stock")))</f>
        <v>Not Set</v>
      </c>
    </row>
    <row r="105" spans="1:10">
      <c r="A105" t="s">
        <v>165</v>
      </c>
      <c r="B105" t="s">
        <v>166</v>
      </c>
      <c r="C105" t="s">
        <v>147</v>
      </c>
      <c r="D105" s="6">
        <v>41</v>
      </c>
      <c r="E105" t="str">
        <f>A105&amp;"-"&amp;UPPER(LEFT(SUBSTITUTE(C105," ",""),2))&amp;"-"&amp;D105</f>
        <v>FM-04-CR-41</v>
      </c>
      <c r="H105" t="str">
        <f>IF(OR(F105="",G105=""),"",MAX(0,F105-G105))</f>
        <v/>
      </c>
      <c r="I105" s="6">
        <v>2</v>
      </c>
      <c r="J105" t="str">
        <f>IF(H105="","Not Set",IF(H105=0,"Out of Stock",IF(H105&lt;=I105,"Low Stock","In Stock")))</f>
        <v>Not Set</v>
      </c>
    </row>
    <row r="106" spans="1:10">
      <c r="A106" t="s">
        <v>169</v>
      </c>
      <c r="B106" t="s">
        <v>170</v>
      </c>
      <c r="C106" t="s">
        <v>172</v>
      </c>
      <c r="D106" s="6">
        <v>38</v>
      </c>
      <c r="E106" t="str">
        <f>A106&amp;"-"&amp;UPPER(LEFT(SUBSTITUTE(C106," ",""),2))&amp;"-"&amp;D106</f>
        <v>FM-05-IV-38</v>
      </c>
      <c r="H106" t="str">
        <f>IF(OR(F106="",G106=""),"",MAX(0,F106-G106))</f>
        <v/>
      </c>
      <c r="I106" s="6">
        <v>2</v>
      </c>
      <c r="J106" t="str">
        <f>IF(H106="","Not Set",IF(H106=0,"Out of Stock",IF(H106&lt;=I106,"Low Stock","In Stock")))</f>
        <v>Not Set</v>
      </c>
    </row>
    <row r="107" spans="1:10">
      <c r="A107" t="s">
        <v>169</v>
      </c>
      <c r="B107" t="s">
        <v>170</v>
      </c>
      <c r="C107" t="s">
        <v>172</v>
      </c>
      <c r="D107" s="6">
        <v>39</v>
      </c>
      <c r="E107" t="str">
        <f>A107&amp;"-"&amp;UPPER(LEFT(SUBSTITUTE(C107," ",""),2))&amp;"-"&amp;D107</f>
        <v>FM-05-IV-39</v>
      </c>
      <c r="H107" t="str">
        <f>IF(OR(F107="",G107=""),"",MAX(0,F107-G107))</f>
        <v/>
      </c>
      <c r="I107" s="6">
        <v>2</v>
      </c>
      <c r="J107" t="str">
        <f>IF(H107="","Not Set",IF(H107=0,"Out of Stock",IF(H107&lt;=I107,"Low Stock","In Stock")))</f>
        <v>Not Set</v>
      </c>
    </row>
    <row r="108" spans="1:10">
      <c r="A108" t="s">
        <v>169</v>
      </c>
      <c r="B108" t="s">
        <v>170</v>
      </c>
      <c r="C108" t="s">
        <v>172</v>
      </c>
      <c r="D108" s="6">
        <v>40</v>
      </c>
      <c r="E108" t="str">
        <f>A108&amp;"-"&amp;UPPER(LEFT(SUBSTITUTE(C108," ",""),2))&amp;"-"&amp;D108</f>
        <v>FM-05-IV-40</v>
      </c>
      <c r="H108" t="str">
        <f>IF(OR(F108="",G108=""),"",MAX(0,F108-G108))</f>
        <v/>
      </c>
      <c r="I108" s="6">
        <v>2</v>
      </c>
      <c r="J108" t="str">
        <f>IF(H108="","Not Set",IF(H108=0,"Out of Stock",IF(H108&lt;=I108,"Low Stock","In Stock")))</f>
        <v>Not Set</v>
      </c>
    </row>
    <row r="109" spans="1:10">
      <c r="A109" t="s">
        <v>169</v>
      </c>
      <c r="B109" t="s">
        <v>170</v>
      </c>
      <c r="C109" t="s">
        <v>172</v>
      </c>
      <c r="D109" s="6">
        <v>41</v>
      </c>
      <c r="E109" t="str">
        <f>A109&amp;"-"&amp;UPPER(LEFT(SUBSTITUTE(C109," ",""),2))&amp;"-"&amp;D109</f>
        <v>FM-05-IV-41</v>
      </c>
      <c r="H109" t="str">
        <f>IF(OR(F109="",G109=""),"",MAX(0,F109-G109))</f>
        <v/>
      </c>
      <c r="I109" s="6">
        <v>2</v>
      </c>
      <c r="J109" t="str">
        <f>IF(H109="","Not Set",IF(H109=0,"Out of Stock",IF(H109&lt;=I109,"Low Stock","In Stock")))</f>
        <v>Not Set</v>
      </c>
    </row>
    <row r="110" spans="1:10">
      <c r="A110" t="s">
        <v>175</v>
      </c>
      <c r="B110" t="s">
        <v>176</v>
      </c>
      <c r="C110" t="s">
        <v>142</v>
      </c>
      <c r="D110" s="6">
        <v>38</v>
      </c>
      <c r="E110" t="str">
        <f>A110&amp;"-"&amp;UPPER(LEFT(SUBSTITUTE(C110," ",""),2))&amp;"-"&amp;D110</f>
        <v>FM-06-CH-38</v>
      </c>
      <c r="H110" t="str">
        <f>IF(OR(F110="",G110=""),"",MAX(0,F110-G110))</f>
        <v/>
      </c>
      <c r="I110" s="6">
        <v>2</v>
      </c>
      <c r="J110" t="str">
        <f>IF(H110="","Not Set",IF(H110=0,"Out of Stock",IF(H110&lt;=I110,"Low Stock","In Stock")))</f>
        <v>Not Set</v>
      </c>
    </row>
    <row r="111" spans="1:10">
      <c r="A111" t="s">
        <v>175</v>
      </c>
      <c r="B111" t="s">
        <v>176</v>
      </c>
      <c r="C111" t="s">
        <v>142</v>
      </c>
      <c r="D111" s="6">
        <v>39</v>
      </c>
      <c r="E111" t="str">
        <f>A111&amp;"-"&amp;UPPER(LEFT(SUBSTITUTE(C111," ",""),2))&amp;"-"&amp;D111</f>
        <v>FM-06-CH-39</v>
      </c>
      <c r="H111" t="str">
        <f>IF(OR(F111="",G111=""),"",MAX(0,F111-G111))</f>
        <v/>
      </c>
      <c r="I111" s="6">
        <v>2</v>
      </c>
      <c r="J111" t="str">
        <f>IF(H111="","Not Set",IF(H111=0,"Out of Stock",IF(H111&lt;=I111,"Low Stock","In Stock")))</f>
        <v>Not Set</v>
      </c>
    </row>
    <row r="112" spans="1:10">
      <c r="A112" t="s">
        <v>175</v>
      </c>
      <c r="B112" t="s">
        <v>176</v>
      </c>
      <c r="C112" t="s">
        <v>142</v>
      </c>
      <c r="D112" s="6">
        <v>40</v>
      </c>
      <c r="E112" t="str">
        <f>A112&amp;"-"&amp;UPPER(LEFT(SUBSTITUTE(C112," ",""),2))&amp;"-"&amp;D112</f>
        <v>FM-06-CH-40</v>
      </c>
      <c r="H112" t="str">
        <f>IF(OR(F112="",G112=""),"",MAX(0,F112-G112))</f>
        <v/>
      </c>
      <c r="I112" s="6">
        <v>2</v>
      </c>
      <c r="J112" t="str">
        <f>IF(H112="","Not Set",IF(H112=0,"Out of Stock",IF(H112&lt;=I112,"Low Stock","In Stock")))</f>
        <v>Not Set</v>
      </c>
    </row>
    <row r="113" spans="1:10">
      <c r="A113" t="s">
        <v>175</v>
      </c>
      <c r="B113" t="s">
        <v>176</v>
      </c>
      <c r="C113" t="s">
        <v>142</v>
      </c>
      <c r="D113" s="6">
        <v>41</v>
      </c>
      <c r="E113" t="str">
        <f>A113&amp;"-"&amp;UPPER(LEFT(SUBSTITUTE(C113," ",""),2))&amp;"-"&amp;D113</f>
        <v>FM-06-CH-41</v>
      </c>
      <c r="H113" t="str">
        <f>IF(OR(F113="",G113=""),"",MAX(0,F113-G113))</f>
        <v/>
      </c>
      <c r="I113" s="6">
        <v>2</v>
      </c>
      <c r="J113" t="str">
        <f>IF(H113="","Not Set",IF(H113=0,"Out of Stock",IF(H113&lt;=I113,"Low Stock","In Stock")))</f>
        <v>Not Set</v>
      </c>
    </row>
    <row r="114" spans="1:10">
      <c r="A114" t="s">
        <v>180</v>
      </c>
      <c r="B114" t="s">
        <v>181</v>
      </c>
      <c r="C114" t="s">
        <v>183</v>
      </c>
      <c r="D114" s="6">
        <v>38</v>
      </c>
      <c r="E114" t="str">
        <f>A114&amp;"-"&amp;UPPER(LEFT(SUBSTITUTE(C114," ",""),2))&amp;"-"&amp;D114</f>
        <v>FM-07-LE-38</v>
      </c>
      <c r="H114" t="str">
        <f>IF(OR(F114="",G114=""),"",MAX(0,F114-G114))</f>
        <v/>
      </c>
      <c r="I114" s="6">
        <v>2</v>
      </c>
      <c r="J114" t="str">
        <f>IF(H114="","Not Set",IF(H114=0,"Out of Stock",IF(H114&lt;=I114,"Low Stock","In Stock")))</f>
        <v>Not Set</v>
      </c>
    </row>
    <row r="115" spans="1:10">
      <c r="A115" t="s">
        <v>180</v>
      </c>
      <c r="B115" t="s">
        <v>181</v>
      </c>
      <c r="C115" t="s">
        <v>183</v>
      </c>
      <c r="D115" s="6">
        <v>39</v>
      </c>
      <c r="E115" t="str">
        <f>A115&amp;"-"&amp;UPPER(LEFT(SUBSTITUTE(C115," ",""),2))&amp;"-"&amp;D115</f>
        <v>FM-07-LE-39</v>
      </c>
      <c r="H115" t="str">
        <f>IF(OR(F115="",G115=""),"",MAX(0,F115-G115))</f>
        <v/>
      </c>
      <c r="I115" s="6">
        <v>2</v>
      </c>
      <c r="J115" t="str">
        <f>IF(H115="","Not Set",IF(H115=0,"Out of Stock",IF(H115&lt;=I115,"Low Stock","In Stock")))</f>
        <v>Not Set</v>
      </c>
    </row>
    <row r="116" spans="1:10">
      <c r="A116" t="s">
        <v>180</v>
      </c>
      <c r="B116" t="s">
        <v>181</v>
      </c>
      <c r="C116" t="s">
        <v>183</v>
      </c>
      <c r="D116" s="6">
        <v>40</v>
      </c>
      <c r="E116" t="str">
        <f>A116&amp;"-"&amp;UPPER(LEFT(SUBSTITUTE(C116," ",""),2))&amp;"-"&amp;D116</f>
        <v>FM-07-LE-40</v>
      </c>
      <c r="H116" t="str">
        <f>IF(OR(F116="",G116=""),"",MAX(0,F116-G116))</f>
        <v/>
      </c>
      <c r="I116" s="6">
        <v>2</v>
      </c>
      <c r="J116" t="str">
        <f>IF(H116="","Not Set",IF(H116=0,"Out of Stock",IF(H116&lt;=I116,"Low Stock","In Stock")))</f>
        <v>Not Set</v>
      </c>
    </row>
    <row r="117" spans="1:10">
      <c r="A117" t="s">
        <v>180</v>
      </c>
      <c r="B117" t="s">
        <v>181</v>
      </c>
      <c r="C117" t="s">
        <v>183</v>
      </c>
      <c r="D117" s="6">
        <v>41</v>
      </c>
      <c r="E117" t="str">
        <f>A117&amp;"-"&amp;UPPER(LEFT(SUBSTITUTE(C117," ",""),2))&amp;"-"&amp;D117</f>
        <v>FM-07-LE-41</v>
      </c>
      <c r="H117" t="str">
        <f>IF(OR(F117="",G117=""),"",MAX(0,F117-G117))</f>
        <v/>
      </c>
      <c r="I117" s="6">
        <v>2</v>
      </c>
      <c r="J117" t="str">
        <f>IF(H117="","Not Set",IF(H117=0,"Out of Stock",IF(H117&lt;=I117,"Low Stock","In Stock")))</f>
        <v>Not Set</v>
      </c>
    </row>
    <row r="118" spans="1:10">
      <c r="A118" t="s">
        <v>186</v>
      </c>
      <c r="B118" t="s">
        <v>187</v>
      </c>
      <c r="C118" t="s">
        <v>189</v>
      </c>
      <c r="D118" s="6">
        <v>38</v>
      </c>
      <c r="E118" t="str">
        <f>A118&amp;"-"&amp;UPPER(LEFT(SUBSTITUTE(C118," ",""),2))&amp;"-"&amp;D118</f>
        <v>FM-08-DE-38</v>
      </c>
      <c r="H118" t="str">
        <f>IF(OR(F118="",G118=""),"",MAX(0,F118-G118))</f>
        <v/>
      </c>
      <c r="I118" s="6">
        <v>2</v>
      </c>
      <c r="J118" t="str">
        <f>IF(H118="","Not Set",IF(H118=0,"Out of Stock",IF(H118&lt;=I118,"Low Stock","In Stock")))</f>
        <v>Not Set</v>
      </c>
    </row>
    <row r="119" spans="1:10">
      <c r="A119" t="s">
        <v>186</v>
      </c>
      <c r="B119" t="s">
        <v>187</v>
      </c>
      <c r="C119" t="s">
        <v>189</v>
      </c>
      <c r="D119" s="6">
        <v>39</v>
      </c>
      <c r="E119" t="str">
        <f>A119&amp;"-"&amp;UPPER(LEFT(SUBSTITUTE(C119," ",""),2))&amp;"-"&amp;D119</f>
        <v>FM-08-DE-39</v>
      </c>
      <c r="H119" t="str">
        <f>IF(OR(F119="",G119=""),"",MAX(0,F119-G119))</f>
        <v/>
      </c>
      <c r="I119" s="6">
        <v>2</v>
      </c>
      <c r="J119" t="str">
        <f>IF(H119="","Not Set",IF(H119=0,"Out of Stock",IF(H119&lt;=I119,"Low Stock","In Stock")))</f>
        <v>Not Set</v>
      </c>
    </row>
    <row r="120" spans="1:10">
      <c r="A120" t="s">
        <v>186</v>
      </c>
      <c r="B120" t="s">
        <v>187</v>
      </c>
      <c r="C120" t="s">
        <v>189</v>
      </c>
      <c r="D120" s="6">
        <v>40</v>
      </c>
      <c r="E120" t="str">
        <f>A120&amp;"-"&amp;UPPER(LEFT(SUBSTITUTE(C120," ",""),2))&amp;"-"&amp;D120</f>
        <v>FM-08-DE-40</v>
      </c>
      <c r="H120" t="str">
        <f>IF(OR(F120="",G120=""),"",MAX(0,F120-G120))</f>
        <v/>
      </c>
      <c r="I120" s="6">
        <v>2</v>
      </c>
      <c r="J120" t="str">
        <f>IF(H120="","Not Set",IF(H120=0,"Out of Stock",IF(H120&lt;=I120,"Low Stock","In Stock")))</f>
        <v>Not Set</v>
      </c>
    </row>
    <row r="121" spans="1:10">
      <c r="A121" t="s">
        <v>186</v>
      </c>
      <c r="B121" t="s">
        <v>187</v>
      </c>
      <c r="C121" t="s">
        <v>189</v>
      </c>
      <c r="D121" s="6">
        <v>41</v>
      </c>
      <c r="E121" t="str">
        <f>A121&amp;"-"&amp;UPPER(LEFT(SUBSTITUTE(C121," ",""),2))&amp;"-"&amp;D121</f>
        <v>FM-08-DE-41</v>
      </c>
      <c r="H121" t="str">
        <f>IF(OR(F121="",G121=""),"",MAX(0,F121-G121))</f>
        <v/>
      </c>
      <c r="I121" s="6">
        <v>2</v>
      </c>
      <c r="J121" t="str">
        <f>IF(H121="","Not Set",IF(H121=0,"Out of Stock",IF(H121&lt;=I121,"Low Stock","In Stock")))</f>
        <v>Not Set</v>
      </c>
    </row>
    <row r="122" spans="1:10">
      <c r="A122" t="s">
        <v>191</v>
      </c>
      <c r="B122" t="s">
        <v>192</v>
      </c>
      <c r="C122" t="s">
        <v>194</v>
      </c>
      <c r="D122" s="6">
        <v>38</v>
      </c>
      <c r="E122" t="str">
        <f>A122&amp;"-"&amp;UPPER(LEFT(SUBSTITUTE(C122," ",""),2))&amp;"-"&amp;D122</f>
        <v>FN-01-CH-38</v>
      </c>
      <c r="H122" t="str">
        <f>IF(OR(F122="",G122=""),"",MAX(0,F122-G122))</f>
        <v/>
      </c>
      <c r="I122" s="6">
        <v>2</v>
      </c>
      <c r="J122" t="str">
        <f>IF(H122="","Not Set",IF(H122=0,"Out of Stock",IF(H122&lt;=I122,"Low Stock","In Stock")))</f>
        <v>Not Set</v>
      </c>
    </row>
    <row r="123" spans="1:10">
      <c r="A123" t="s">
        <v>191</v>
      </c>
      <c r="B123" t="s">
        <v>192</v>
      </c>
      <c r="C123" t="s">
        <v>194</v>
      </c>
      <c r="D123" s="6">
        <v>39</v>
      </c>
      <c r="E123" t="str">
        <f>A123&amp;"-"&amp;UPPER(LEFT(SUBSTITUTE(C123," ",""),2))&amp;"-"&amp;D123</f>
        <v>FN-01-CH-39</v>
      </c>
      <c r="H123" t="str">
        <f>IF(OR(F123="",G123=""),"",MAX(0,F123-G123))</f>
        <v/>
      </c>
      <c r="I123" s="6">
        <v>2</v>
      </c>
      <c r="J123" t="str">
        <f>IF(H123="","Not Set",IF(H123=0,"Out of Stock",IF(H123&lt;=I123,"Low Stock","In Stock")))</f>
        <v>Not Set</v>
      </c>
    </row>
    <row r="124" spans="1:10">
      <c r="A124" t="s">
        <v>191</v>
      </c>
      <c r="B124" t="s">
        <v>192</v>
      </c>
      <c r="C124" t="s">
        <v>194</v>
      </c>
      <c r="D124" s="6">
        <v>40</v>
      </c>
      <c r="E124" t="str">
        <f>A124&amp;"-"&amp;UPPER(LEFT(SUBSTITUTE(C124," ",""),2))&amp;"-"&amp;D124</f>
        <v>FN-01-CH-40</v>
      </c>
      <c r="H124" t="str">
        <f>IF(OR(F124="",G124=""),"",MAX(0,F124-G124))</f>
        <v/>
      </c>
      <c r="I124" s="6">
        <v>2</v>
      </c>
      <c r="J124" t="str">
        <f>IF(H124="","Not Set",IF(H124=0,"Out of Stock",IF(H124&lt;=I124,"Low Stock","In Stock")))</f>
        <v>Not Set</v>
      </c>
    </row>
    <row r="125" spans="1:10">
      <c r="A125" t="s">
        <v>191</v>
      </c>
      <c r="B125" t="s">
        <v>192</v>
      </c>
      <c r="C125" t="s">
        <v>194</v>
      </c>
      <c r="D125" s="6">
        <v>41</v>
      </c>
      <c r="E125" t="str">
        <f>A125&amp;"-"&amp;UPPER(LEFT(SUBSTITUTE(C125," ",""),2))&amp;"-"&amp;D125</f>
        <v>FN-01-CH-41</v>
      </c>
      <c r="H125" t="str">
        <f>IF(OR(F125="",G125=""),"",MAX(0,F125-G125))</f>
        <v/>
      </c>
      <c r="I125" s="6">
        <v>2</v>
      </c>
      <c r="J125" t="str">
        <f>IF(H125="","Not Set",IF(H125=0,"Out of Stock",IF(H125&lt;=I125,"Low Stock","In Stock")))</f>
        <v>Not Set</v>
      </c>
    </row>
    <row r="126" spans="1:10">
      <c r="A126" t="s">
        <v>196</v>
      </c>
      <c r="B126" t="s">
        <v>197</v>
      </c>
      <c r="C126" t="s">
        <v>199</v>
      </c>
      <c r="D126" s="6">
        <v>38</v>
      </c>
      <c r="E126" t="str">
        <f>A126&amp;"-"&amp;UPPER(LEFT(SUBSTITUTE(C126," ",""),2))&amp;"-"&amp;D126</f>
        <v>FN-02-GU-38</v>
      </c>
      <c r="H126" t="str">
        <f>IF(OR(F126="",G126=""),"",MAX(0,F126-G126))</f>
        <v/>
      </c>
      <c r="I126" s="6">
        <v>2</v>
      </c>
      <c r="J126" t="str">
        <f>IF(H126="","Not Set",IF(H126=0,"Out of Stock",IF(H126&lt;=I126,"Low Stock","In Stock")))</f>
        <v>Not Set</v>
      </c>
    </row>
    <row r="127" spans="1:10">
      <c r="A127" t="s">
        <v>196</v>
      </c>
      <c r="B127" t="s">
        <v>197</v>
      </c>
      <c r="C127" t="s">
        <v>199</v>
      </c>
      <c r="D127" s="6">
        <v>39</v>
      </c>
      <c r="E127" t="str">
        <f>A127&amp;"-"&amp;UPPER(LEFT(SUBSTITUTE(C127," ",""),2))&amp;"-"&amp;D127</f>
        <v>FN-02-GU-39</v>
      </c>
      <c r="H127" t="str">
        <f>IF(OR(F127="",G127=""),"",MAX(0,F127-G127))</f>
        <v/>
      </c>
      <c r="I127" s="6">
        <v>2</v>
      </c>
      <c r="J127" t="str">
        <f>IF(H127="","Not Set",IF(H127=0,"Out of Stock",IF(H127&lt;=I127,"Low Stock","In Stock")))</f>
        <v>Not Set</v>
      </c>
    </row>
    <row r="128" spans="1:10">
      <c r="A128" t="s">
        <v>196</v>
      </c>
      <c r="B128" t="s">
        <v>197</v>
      </c>
      <c r="C128" t="s">
        <v>199</v>
      </c>
      <c r="D128" s="6">
        <v>40</v>
      </c>
      <c r="E128" t="str">
        <f>A128&amp;"-"&amp;UPPER(LEFT(SUBSTITUTE(C128," ",""),2))&amp;"-"&amp;D128</f>
        <v>FN-02-GU-40</v>
      </c>
      <c r="H128" t="str">
        <f>IF(OR(F128="",G128=""),"",MAX(0,F128-G128))</f>
        <v/>
      </c>
      <c r="I128" s="6">
        <v>2</v>
      </c>
      <c r="J128" t="str">
        <f>IF(H128="","Not Set",IF(H128=0,"Out of Stock",IF(H128&lt;=I128,"Low Stock","In Stock")))</f>
        <v>Not Set</v>
      </c>
    </row>
    <row r="129" spans="1:10">
      <c r="A129" t="s">
        <v>196</v>
      </c>
      <c r="B129" t="s">
        <v>197</v>
      </c>
      <c r="C129" t="s">
        <v>199</v>
      </c>
      <c r="D129" s="6">
        <v>41</v>
      </c>
      <c r="E129" t="str">
        <f>A129&amp;"-"&amp;UPPER(LEFT(SUBSTITUTE(C129," ",""),2))&amp;"-"&amp;D129</f>
        <v>FN-02-GU-41</v>
      </c>
      <c r="H129" t="str">
        <f>IF(OR(F129="",G129=""),"",MAX(0,F129-G129))</f>
        <v/>
      </c>
      <c r="I129" s="6">
        <v>2</v>
      </c>
      <c r="J129" t="str">
        <f>IF(H129="","Not Set",IF(H129=0,"Out of Stock",IF(H129&lt;=I129,"Low Stock","In Stock")))</f>
        <v>Not Set</v>
      </c>
    </row>
    <row r="130" spans="1:10">
      <c r="A130" t="s">
        <v>201</v>
      </c>
      <c r="B130" t="s">
        <v>202</v>
      </c>
      <c r="C130" t="s">
        <v>204</v>
      </c>
      <c r="D130" s="6">
        <v>38</v>
      </c>
      <c r="E130" t="str">
        <f>A130&amp;"-"&amp;UPPER(LEFT(SUBSTITUTE(C130," ",""),2))&amp;"-"&amp;D130</f>
        <v>FN-03-CR-38</v>
      </c>
      <c r="H130" t="str">
        <f>IF(OR(F130="",G130=""),"",MAX(0,F130-G130))</f>
        <v/>
      </c>
      <c r="I130" s="6">
        <v>2</v>
      </c>
      <c r="J130" t="str">
        <f>IF(H130="","Not Set",IF(H130=0,"Out of Stock",IF(H130&lt;=I130,"Low Stock","In Stock")))</f>
        <v>Not Set</v>
      </c>
    </row>
    <row r="131" spans="1:10">
      <c r="A131" t="s">
        <v>201</v>
      </c>
      <c r="B131" t="s">
        <v>202</v>
      </c>
      <c r="C131" t="s">
        <v>204</v>
      </c>
      <c r="D131" s="6">
        <v>39</v>
      </c>
      <c r="E131" t="str">
        <f>A131&amp;"-"&amp;UPPER(LEFT(SUBSTITUTE(C131," ",""),2))&amp;"-"&amp;D131</f>
        <v>FN-03-CR-39</v>
      </c>
      <c r="H131" t="str">
        <f>IF(OR(F131="",G131=""),"",MAX(0,F131-G131))</f>
        <v/>
      </c>
      <c r="I131" s="6">
        <v>2</v>
      </c>
      <c r="J131" t="str">
        <f>IF(H131="","Not Set",IF(H131=0,"Out of Stock",IF(H131&lt;=I131,"Low Stock","In Stock")))</f>
        <v>Not Set</v>
      </c>
    </row>
    <row r="132" spans="1:10">
      <c r="A132" t="s">
        <v>201</v>
      </c>
      <c r="B132" t="s">
        <v>202</v>
      </c>
      <c r="C132" t="s">
        <v>204</v>
      </c>
      <c r="D132" s="6">
        <v>40</v>
      </c>
      <c r="E132" t="str">
        <f>A132&amp;"-"&amp;UPPER(LEFT(SUBSTITUTE(C132," ",""),2))&amp;"-"&amp;D132</f>
        <v>FN-03-CR-40</v>
      </c>
      <c r="H132" t="str">
        <f>IF(OR(F132="",G132=""),"",MAX(0,F132-G132))</f>
        <v/>
      </c>
      <c r="I132" s="6">
        <v>2</v>
      </c>
      <c r="J132" t="str">
        <f>IF(H132="","Not Set",IF(H132=0,"Out of Stock",IF(H132&lt;=I132,"Low Stock","In Stock")))</f>
        <v>Not Set</v>
      </c>
    </row>
    <row r="133" spans="1:10">
      <c r="A133" t="s">
        <v>201</v>
      </c>
      <c r="B133" t="s">
        <v>202</v>
      </c>
      <c r="C133" t="s">
        <v>204</v>
      </c>
      <c r="D133" s="6">
        <v>41</v>
      </c>
      <c r="E133" t="str">
        <f>A133&amp;"-"&amp;UPPER(LEFT(SUBSTITUTE(C133," ",""),2))&amp;"-"&amp;D133</f>
        <v>FN-03-CR-41</v>
      </c>
      <c r="H133" t="str">
        <f>IF(OR(F133="",G133=""),"",MAX(0,F133-G133))</f>
        <v/>
      </c>
      <c r="I133" s="6">
        <v>2</v>
      </c>
      <c r="J133" t="str">
        <f>IF(H133="","Not Set",IF(H133=0,"Out of Stock",IF(H133&lt;=I133,"Low Stock","In Stock")))</f>
        <v>Not Set</v>
      </c>
    </row>
    <row r="134" spans="1:10">
      <c r="A134" t="s">
        <v>206</v>
      </c>
      <c r="B134" t="s">
        <v>207</v>
      </c>
      <c r="C134" t="s">
        <v>209</v>
      </c>
      <c r="D134" s="6">
        <v>38</v>
      </c>
      <c r="E134" t="str">
        <f>A134&amp;"-"&amp;UPPER(LEFT(SUBSTITUTE(C134," ",""),2))&amp;"-"&amp;D134</f>
        <v>FN-04-MA-38</v>
      </c>
      <c r="H134" t="str">
        <f>IF(OR(F134="",G134=""),"",MAX(0,F134-G134))</f>
        <v/>
      </c>
      <c r="I134" s="6">
        <v>2</v>
      </c>
      <c r="J134" t="str">
        <f>IF(H134="","Not Set",IF(H134=0,"Out of Stock",IF(H134&lt;=I134,"Low Stock","In Stock")))</f>
        <v>Not Set</v>
      </c>
    </row>
    <row r="135" spans="1:10">
      <c r="A135" t="s">
        <v>206</v>
      </c>
      <c r="B135" t="s">
        <v>207</v>
      </c>
      <c r="C135" t="s">
        <v>209</v>
      </c>
      <c r="D135" s="6">
        <v>39</v>
      </c>
      <c r="E135" t="str">
        <f>A135&amp;"-"&amp;UPPER(LEFT(SUBSTITUTE(C135," ",""),2))&amp;"-"&amp;D135</f>
        <v>FN-04-MA-39</v>
      </c>
      <c r="H135" t="str">
        <f>IF(OR(F135="",G135=""),"",MAX(0,F135-G135))</f>
        <v/>
      </c>
      <c r="I135" s="6">
        <v>2</v>
      </c>
      <c r="J135" t="str">
        <f>IF(H135="","Not Set",IF(H135=0,"Out of Stock",IF(H135&lt;=I135,"Low Stock","In Stock")))</f>
        <v>Not Set</v>
      </c>
    </row>
    <row r="136" spans="1:10">
      <c r="A136" t="s">
        <v>206</v>
      </c>
      <c r="B136" t="s">
        <v>207</v>
      </c>
      <c r="C136" t="s">
        <v>209</v>
      </c>
      <c r="D136" s="6">
        <v>40</v>
      </c>
      <c r="E136" t="str">
        <f>A136&amp;"-"&amp;UPPER(LEFT(SUBSTITUTE(C136," ",""),2))&amp;"-"&amp;D136</f>
        <v>FN-04-MA-40</v>
      </c>
      <c r="H136" t="str">
        <f>IF(OR(F136="",G136=""),"",MAX(0,F136-G136))</f>
        <v/>
      </c>
      <c r="I136" s="6">
        <v>2</v>
      </c>
      <c r="J136" t="str">
        <f>IF(H136="","Not Set",IF(H136=0,"Out of Stock",IF(H136&lt;=I136,"Low Stock","In Stock")))</f>
        <v>Not Set</v>
      </c>
    </row>
    <row r="137" spans="1:10">
      <c r="A137" t="s">
        <v>206</v>
      </c>
      <c r="B137" t="s">
        <v>207</v>
      </c>
      <c r="C137" t="s">
        <v>209</v>
      </c>
      <c r="D137" s="6">
        <v>41</v>
      </c>
      <c r="E137" t="str">
        <f>A137&amp;"-"&amp;UPPER(LEFT(SUBSTITUTE(C137," ",""),2))&amp;"-"&amp;D137</f>
        <v>FN-04-MA-41</v>
      </c>
      <c r="H137" t="str">
        <f>IF(OR(F137="",G137=""),"",MAX(0,F137-G137))</f>
        <v/>
      </c>
      <c r="I137" s="6">
        <v>2</v>
      </c>
      <c r="J137" t="str">
        <f>IF(H137="","Not Set",IF(H137=0,"Out of Stock",IF(H137&lt;=I137,"Low Stock","In Stock")))</f>
        <v>Not Set</v>
      </c>
    </row>
    <row r="138" spans="1:10">
      <c r="A138" t="s">
        <v>211</v>
      </c>
      <c r="B138" t="s">
        <v>212</v>
      </c>
      <c r="C138" t="s">
        <v>214</v>
      </c>
      <c r="D138" s="6">
        <v>38</v>
      </c>
      <c r="E138" t="str">
        <f>A138&amp;"-"&amp;UPPER(LEFT(SUBSTITUTE(C138," ",""),2))&amp;"-"&amp;D138</f>
        <v>FN-05-MI-38</v>
      </c>
      <c r="H138" t="str">
        <f>IF(OR(F138="",G138=""),"",MAX(0,F138-G138))</f>
        <v/>
      </c>
      <c r="I138" s="6">
        <v>2</v>
      </c>
      <c r="J138" t="str">
        <f>IF(H138="","Not Set",IF(H138=0,"Out of Stock",IF(H138&lt;=I138,"Low Stock","In Stock")))</f>
        <v>Not Set</v>
      </c>
    </row>
    <row r="139" spans="1:10">
      <c r="A139" t="s">
        <v>211</v>
      </c>
      <c r="B139" t="s">
        <v>212</v>
      </c>
      <c r="C139" t="s">
        <v>214</v>
      </c>
      <c r="D139" s="6">
        <v>39</v>
      </c>
      <c r="E139" t="str">
        <f>A139&amp;"-"&amp;UPPER(LEFT(SUBSTITUTE(C139," ",""),2))&amp;"-"&amp;D139</f>
        <v>FN-05-MI-39</v>
      </c>
      <c r="H139" t="str">
        <f>IF(OR(F139="",G139=""),"",MAX(0,F139-G139))</f>
        <v/>
      </c>
      <c r="I139" s="6">
        <v>2</v>
      </c>
      <c r="J139" t="str">
        <f>IF(H139="","Not Set",IF(H139=0,"Out of Stock",IF(H139&lt;=I139,"Low Stock","In Stock")))</f>
        <v>Not Set</v>
      </c>
    </row>
    <row r="140" spans="1:10">
      <c r="A140" t="s">
        <v>211</v>
      </c>
      <c r="B140" t="s">
        <v>212</v>
      </c>
      <c r="C140" t="s">
        <v>214</v>
      </c>
      <c r="D140" s="6">
        <v>40</v>
      </c>
      <c r="E140" t="str">
        <f>A140&amp;"-"&amp;UPPER(LEFT(SUBSTITUTE(C140," ",""),2))&amp;"-"&amp;D140</f>
        <v>FN-05-MI-40</v>
      </c>
      <c r="H140" t="str">
        <f>IF(OR(F140="",G140=""),"",MAX(0,F140-G140))</f>
        <v/>
      </c>
      <c r="I140" s="6">
        <v>2</v>
      </c>
      <c r="J140" t="str">
        <f>IF(H140="","Not Set",IF(H140=0,"Out of Stock",IF(H140&lt;=I140,"Low Stock","In Stock")))</f>
        <v>Not Set</v>
      </c>
    </row>
    <row r="141" spans="1:10">
      <c r="A141" t="s">
        <v>211</v>
      </c>
      <c r="B141" t="s">
        <v>212</v>
      </c>
      <c r="C141" t="s">
        <v>214</v>
      </c>
      <c r="D141" s="6">
        <v>41</v>
      </c>
      <c r="E141" t="str">
        <f>A141&amp;"-"&amp;UPPER(LEFT(SUBSTITUTE(C141," ",""),2))&amp;"-"&amp;D141</f>
        <v>FN-05-MI-41</v>
      </c>
      <c r="H141" t="str">
        <f>IF(OR(F141="",G141=""),"",MAX(0,F141-G141))</f>
        <v/>
      </c>
      <c r="I141" s="6">
        <v>2</v>
      </c>
      <c r="J141" t="str">
        <f>IF(H141="","Not Set",IF(H141=0,"Out of Stock",IF(H141&lt;=I141,"Low Stock","In Stock")))</f>
        <v>Not Set</v>
      </c>
    </row>
    <row r="142" spans="1:10">
      <c r="A142" t="s">
        <v>216</v>
      </c>
      <c r="B142" t="s">
        <v>217</v>
      </c>
      <c r="C142" t="s">
        <v>220</v>
      </c>
      <c r="D142" s="6">
        <v>38</v>
      </c>
      <c r="E142" t="str">
        <f>A142&amp;"-"&amp;UPPER(LEFT(SUBSTITUTE(C142," ",""),2))&amp;"-"&amp;D142</f>
        <v>FN-06-PE-38</v>
      </c>
      <c r="H142" t="str">
        <f>IF(OR(F142="",G142=""),"",MAX(0,F142-G142))</f>
        <v/>
      </c>
      <c r="I142" s="6">
        <v>2</v>
      </c>
      <c r="J142" t="str">
        <f>IF(H142="","Not Set",IF(H142=0,"Out of Stock",IF(H142&lt;=I142,"Low Stock","In Stock")))</f>
        <v>Not Set</v>
      </c>
    </row>
    <row r="143" spans="1:10">
      <c r="A143" t="s">
        <v>216</v>
      </c>
      <c r="B143" t="s">
        <v>217</v>
      </c>
      <c r="C143" t="s">
        <v>220</v>
      </c>
      <c r="D143" s="6">
        <v>39</v>
      </c>
      <c r="E143" t="str">
        <f>A143&amp;"-"&amp;UPPER(LEFT(SUBSTITUTE(C143," ",""),2))&amp;"-"&amp;D143</f>
        <v>FN-06-PE-39</v>
      </c>
      <c r="H143" t="str">
        <f>IF(OR(F143="",G143=""),"",MAX(0,F143-G143))</f>
        <v/>
      </c>
      <c r="I143" s="6">
        <v>2</v>
      </c>
      <c r="J143" t="str">
        <f>IF(H143="","Not Set",IF(H143=0,"Out of Stock",IF(H143&lt;=I143,"Low Stock","In Stock")))</f>
        <v>Not Set</v>
      </c>
    </row>
    <row r="144" spans="1:10">
      <c r="A144" t="s">
        <v>216</v>
      </c>
      <c r="B144" t="s">
        <v>217</v>
      </c>
      <c r="C144" t="s">
        <v>220</v>
      </c>
      <c r="D144" s="6">
        <v>40</v>
      </c>
      <c r="E144" t="str">
        <f>A144&amp;"-"&amp;UPPER(LEFT(SUBSTITUTE(C144," ",""),2))&amp;"-"&amp;D144</f>
        <v>FN-06-PE-40</v>
      </c>
      <c r="H144" t="str">
        <f>IF(OR(F144="",G144=""),"",MAX(0,F144-G144))</f>
        <v/>
      </c>
      <c r="I144" s="6">
        <v>2</v>
      </c>
      <c r="J144" t="str">
        <f>IF(H144="","Not Set",IF(H144=0,"Out of Stock",IF(H144&lt;=I144,"Low Stock","In Stock")))</f>
        <v>Not Set</v>
      </c>
    </row>
    <row r="145" spans="1:10">
      <c r="A145" t="s">
        <v>216</v>
      </c>
      <c r="B145" t="s">
        <v>217</v>
      </c>
      <c r="C145" t="s">
        <v>220</v>
      </c>
      <c r="D145" s="6">
        <v>41</v>
      </c>
      <c r="E145" t="str">
        <f>A145&amp;"-"&amp;UPPER(LEFT(SUBSTITUTE(C145," ",""),2))&amp;"-"&amp;D145</f>
        <v>FN-06-PE-41</v>
      </c>
      <c r="H145" t="str">
        <f>IF(OR(F145="",G145=""),"",MAX(0,F145-G145))</f>
        <v/>
      </c>
      <c r="I145" s="6">
        <v>2</v>
      </c>
      <c r="J145" t="str">
        <f>IF(H145="","Not Set",IF(H145=0,"Out of Stock",IF(H145&lt;=I145,"Low Stock","In Stock")))</f>
        <v>Not Set</v>
      </c>
    </row>
    <row r="146" spans="1:10">
      <c r="A146" t="s">
        <v>222</v>
      </c>
      <c r="B146" t="s">
        <v>223</v>
      </c>
      <c r="C146" t="s">
        <v>45</v>
      </c>
      <c r="D146" s="6">
        <v>38</v>
      </c>
      <c r="E146" t="str">
        <f>A146&amp;"-"&amp;UPPER(LEFT(SUBSTITUTE(C146," ",""),2))&amp;"-"&amp;D146</f>
        <v>FN-07-CH-38</v>
      </c>
      <c r="H146" t="str">
        <f>IF(OR(F146="",G146=""),"",MAX(0,F146-G146))</f>
        <v/>
      </c>
      <c r="I146" s="6">
        <v>2</v>
      </c>
      <c r="J146" t="str">
        <f>IF(H146="","Not Set",IF(H146=0,"Out of Stock",IF(H146&lt;=I146,"Low Stock","In Stock")))</f>
        <v>Not Set</v>
      </c>
    </row>
    <row r="147" spans="1:10">
      <c r="A147" t="s">
        <v>222</v>
      </c>
      <c r="B147" t="s">
        <v>223</v>
      </c>
      <c r="C147" t="s">
        <v>45</v>
      </c>
      <c r="D147" s="6">
        <v>39</v>
      </c>
      <c r="E147" t="str">
        <f>A147&amp;"-"&amp;UPPER(LEFT(SUBSTITUTE(C147," ",""),2))&amp;"-"&amp;D147</f>
        <v>FN-07-CH-39</v>
      </c>
      <c r="H147" t="str">
        <f>IF(OR(F147="",G147=""),"",MAX(0,F147-G147))</f>
        <v/>
      </c>
      <c r="I147" s="6">
        <v>2</v>
      </c>
      <c r="J147" t="str">
        <f>IF(H147="","Not Set",IF(H147=0,"Out of Stock",IF(H147&lt;=I147,"Low Stock","In Stock")))</f>
        <v>Not Set</v>
      </c>
    </row>
    <row r="148" spans="1:10">
      <c r="A148" t="s">
        <v>222</v>
      </c>
      <c r="B148" t="s">
        <v>223</v>
      </c>
      <c r="C148" t="s">
        <v>45</v>
      </c>
      <c r="D148" s="6">
        <v>40</v>
      </c>
      <c r="E148" t="str">
        <f>A148&amp;"-"&amp;UPPER(LEFT(SUBSTITUTE(C148," ",""),2))&amp;"-"&amp;D148</f>
        <v>FN-07-CH-40</v>
      </c>
      <c r="H148" t="str">
        <f>IF(OR(F148="",G148=""),"",MAX(0,F148-G148))</f>
        <v/>
      </c>
      <c r="I148" s="6">
        <v>2</v>
      </c>
      <c r="J148" t="str">
        <f>IF(H148="","Not Set",IF(H148=0,"Out of Stock",IF(H148&lt;=I148,"Low Stock","In Stock")))</f>
        <v>Not Set</v>
      </c>
    </row>
    <row r="149" spans="1:10">
      <c r="A149" t="s">
        <v>222</v>
      </c>
      <c r="B149" t="s">
        <v>223</v>
      </c>
      <c r="C149" t="s">
        <v>45</v>
      </c>
      <c r="D149" s="6">
        <v>41</v>
      </c>
      <c r="E149" t="str">
        <f>A149&amp;"-"&amp;UPPER(LEFT(SUBSTITUTE(C149," ",""),2))&amp;"-"&amp;D149</f>
        <v>FN-07-CH-41</v>
      </c>
      <c r="H149" t="str">
        <f>IF(OR(F149="",G149=""),"",MAX(0,F149-G149))</f>
        <v/>
      </c>
      <c r="I149" s="6">
        <v>2</v>
      </c>
      <c r="J149" t="str">
        <f>IF(H149="","Not Set",IF(H149=0,"Out of Stock",IF(H149&lt;=I149,"Low Stock","In Stock")))</f>
        <v>Not Set</v>
      </c>
    </row>
    <row r="150" spans="1:10">
      <c r="A150" t="s">
        <v>228</v>
      </c>
      <c r="B150" t="s">
        <v>229</v>
      </c>
      <c r="C150" t="s">
        <v>57</v>
      </c>
      <c r="D150" s="6">
        <v>38</v>
      </c>
      <c r="E150" t="str">
        <f>A150&amp;"-"&amp;UPPER(LEFT(SUBSTITUTE(C150," ",""),2))&amp;"-"&amp;D150</f>
        <v>FN-08-JE-38</v>
      </c>
      <c r="H150" t="str">
        <f>IF(OR(F150="",G150=""),"",MAX(0,F150-G150))</f>
        <v/>
      </c>
      <c r="I150" s="6">
        <v>2</v>
      </c>
      <c r="J150" t="str">
        <f>IF(H150="","Not Set",IF(H150=0,"Out of Stock",IF(H150&lt;=I150,"Low Stock","In Stock")))</f>
        <v>Not Set</v>
      </c>
    </row>
    <row r="151" spans="1:10">
      <c r="A151" t="s">
        <v>228</v>
      </c>
      <c r="B151" t="s">
        <v>229</v>
      </c>
      <c r="C151" t="s">
        <v>57</v>
      </c>
      <c r="D151" s="6">
        <v>39</v>
      </c>
      <c r="E151" t="str">
        <f>A151&amp;"-"&amp;UPPER(LEFT(SUBSTITUTE(C151," ",""),2))&amp;"-"&amp;D151</f>
        <v>FN-08-JE-39</v>
      </c>
      <c r="H151" t="str">
        <f>IF(OR(F151="",G151=""),"",MAX(0,F151-G151))</f>
        <v/>
      </c>
      <c r="I151" s="6">
        <v>2</v>
      </c>
      <c r="J151" t="str">
        <f>IF(H151="","Not Set",IF(H151=0,"Out of Stock",IF(H151&lt;=I151,"Low Stock","In Stock")))</f>
        <v>Not Set</v>
      </c>
    </row>
    <row r="152" spans="1:10">
      <c r="A152" t="s">
        <v>228</v>
      </c>
      <c r="B152" t="s">
        <v>229</v>
      </c>
      <c r="C152" t="s">
        <v>57</v>
      </c>
      <c r="D152" s="6">
        <v>40</v>
      </c>
      <c r="E152" t="str">
        <f>A152&amp;"-"&amp;UPPER(LEFT(SUBSTITUTE(C152," ",""),2))&amp;"-"&amp;D152</f>
        <v>FN-08-JE-40</v>
      </c>
      <c r="H152" t="str">
        <f>IF(OR(F152="",G152=""),"",MAX(0,F152-G152))</f>
        <v/>
      </c>
      <c r="I152" s="6">
        <v>2</v>
      </c>
      <c r="J152" t="str">
        <f>IF(H152="","Not Set",IF(H152=0,"Out of Stock",IF(H152&lt;=I152,"Low Stock","In Stock")))</f>
        <v>Not Set</v>
      </c>
    </row>
    <row r="153" spans="1:10">
      <c r="A153" t="s">
        <v>228</v>
      </c>
      <c r="B153" t="s">
        <v>229</v>
      </c>
      <c r="C153" t="s">
        <v>57</v>
      </c>
      <c r="D153" s="6">
        <v>41</v>
      </c>
      <c r="E153" t="str">
        <f>A153&amp;"-"&amp;UPPER(LEFT(SUBSTITUTE(C153," ",""),2))&amp;"-"&amp;D153</f>
        <v>FN-08-JE-41</v>
      </c>
      <c r="H153" t="str">
        <f>IF(OR(F153="",G153=""),"",MAX(0,F153-G153))</f>
        <v/>
      </c>
      <c r="I153" s="6">
        <v>2</v>
      </c>
      <c r="J153" t="str">
        <f>IF(H153="","Not Set",IF(H153=0,"Out of Stock",IF(H153&lt;=I153,"Low Stock","In Stock")))</f>
        <v>Not Set</v>
      </c>
    </row>
    <row r="154" spans="1:10">
      <c r="A154" t="s">
        <v>232</v>
      </c>
      <c r="B154" t="s">
        <v>233</v>
      </c>
      <c r="C154" t="s">
        <v>235</v>
      </c>
      <c r="D154" s="6">
        <v>38</v>
      </c>
      <c r="E154" t="str">
        <f>A154&amp;"-"&amp;UPPER(LEFT(SUBSTITUTE(C154," ",""),2))&amp;"-"&amp;D154</f>
        <v>FN-09-SM-38</v>
      </c>
      <c r="H154" t="str">
        <f>IF(OR(F154="",G154=""),"",MAX(0,F154-G154))</f>
        <v/>
      </c>
      <c r="I154" s="6">
        <v>2</v>
      </c>
      <c r="J154" t="str">
        <f>IF(H154="","Not Set",IF(H154=0,"Out of Stock",IF(H154&lt;=I154,"Low Stock","In Stock")))</f>
        <v>Not Set</v>
      </c>
    </row>
    <row r="155" spans="1:10">
      <c r="A155" t="s">
        <v>232</v>
      </c>
      <c r="B155" t="s">
        <v>233</v>
      </c>
      <c r="C155" t="s">
        <v>235</v>
      </c>
      <c r="D155" s="6">
        <v>39</v>
      </c>
      <c r="E155" t="str">
        <f>A155&amp;"-"&amp;UPPER(LEFT(SUBSTITUTE(C155," ",""),2))&amp;"-"&amp;D155</f>
        <v>FN-09-SM-39</v>
      </c>
      <c r="H155" t="str">
        <f>IF(OR(F155="",G155=""),"",MAX(0,F155-G155))</f>
        <v/>
      </c>
      <c r="I155" s="6">
        <v>2</v>
      </c>
      <c r="J155" t="str">
        <f>IF(H155="","Not Set",IF(H155=0,"Out of Stock",IF(H155&lt;=I155,"Low Stock","In Stock")))</f>
        <v>Not Set</v>
      </c>
    </row>
    <row r="156" spans="1:10">
      <c r="A156" t="s">
        <v>232</v>
      </c>
      <c r="B156" t="s">
        <v>233</v>
      </c>
      <c r="C156" t="s">
        <v>235</v>
      </c>
      <c r="D156" s="6">
        <v>40</v>
      </c>
      <c r="E156" t="str">
        <f>A156&amp;"-"&amp;UPPER(LEFT(SUBSTITUTE(C156," ",""),2))&amp;"-"&amp;D156</f>
        <v>FN-09-SM-40</v>
      </c>
      <c r="H156" t="str">
        <f>IF(OR(F156="",G156=""),"",MAX(0,F156-G156))</f>
        <v/>
      </c>
      <c r="I156" s="6">
        <v>2</v>
      </c>
      <c r="J156" t="str">
        <f>IF(H156="","Not Set",IF(H156=0,"Out of Stock",IF(H156&lt;=I156,"Low Stock","In Stock")))</f>
        <v>Not Set</v>
      </c>
    </row>
    <row r="157" spans="1:10">
      <c r="A157" t="s">
        <v>232</v>
      </c>
      <c r="B157" t="s">
        <v>233</v>
      </c>
      <c r="C157" t="s">
        <v>235</v>
      </c>
      <c r="D157" s="6">
        <v>41</v>
      </c>
      <c r="E157" t="str">
        <f>A157&amp;"-"&amp;UPPER(LEFT(SUBSTITUTE(C157," ",""),2))&amp;"-"&amp;D157</f>
        <v>FN-09-SM-41</v>
      </c>
      <c r="H157" t="str">
        <f>IF(OR(F157="",G157=""),"",MAX(0,F157-G157))</f>
        <v/>
      </c>
      <c r="I157" s="6">
        <v>2</v>
      </c>
      <c r="J157" t="str">
        <f>IF(H157="","Not Set",IF(H157=0,"Out of Stock",IF(H157&lt;=I157,"Low Stock","In Stock")))</f>
        <v>Not Set</v>
      </c>
    </row>
    <row r="158" spans="1:10">
      <c r="A158" t="s">
        <v>238</v>
      </c>
      <c r="B158" t="s">
        <v>239</v>
      </c>
      <c r="C158" t="s">
        <v>241</v>
      </c>
      <c r="D158" s="6">
        <v>38</v>
      </c>
      <c r="E158" t="str">
        <f>A158&amp;"-"&amp;UPPER(LEFT(SUBSTITUTE(C158," ",""),2))&amp;"-"&amp;D158</f>
        <v>FN-10-GL-38</v>
      </c>
      <c r="H158" t="str">
        <f>IF(OR(F158="",G158=""),"",MAX(0,F158-G158))</f>
        <v/>
      </c>
      <c r="I158" s="6">
        <v>2</v>
      </c>
      <c r="J158" t="str">
        <f>IF(H158="","Not Set",IF(H158=0,"Out of Stock",IF(H158&lt;=I158,"Low Stock","In Stock")))</f>
        <v>Not Set</v>
      </c>
    </row>
    <row r="159" spans="1:10">
      <c r="A159" t="s">
        <v>238</v>
      </c>
      <c r="B159" t="s">
        <v>239</v>
      </c>
      <c r="C159" t="s">
        <v>241</v>
      </c>
      <c r="D159" s="6">
        <v>39</v>
      </c>
      <c r="E159" t="str">
        <f>A159&amp;"-"&amp;UPPER(LEFT(SUBSTITUTE(C159," ",""),2))&amp;"-"&amp;D159</f>
        <v>FN-10-GL-39</v>
      </c>
      <c r="H159" t="str">
        <f>IF(OR(F159="",G159=""),"",MAX(0,F159-G159))</f>
        <v/>
      </c>
      <c r="I159" s="6">
        <v>2</v>
      </c>
      <c r="J159" t="str">
        <f>IF(H159="","Not Set",IF(H159=0,"Out of Stock",IF(H159&lt;=I159,"Low Stock","In Stock")))</f>
        <v>Not Set</v>
      </c>
    </row>
    <row r="160" spans="1:10">
      <c r="A160" t="s">
        <v>238</v>
      </c>
      <c r="B160" t="s">
        <v>239</v>
      </c>
      <c r="C160" t="s">
        <v>241</v>
      </c>
      <c r="D160" s="6">
        <v>40</v>
      </c>
      <c r="E160" t="str">
        <f>A160&amp;"-"&amp;UPPER(LEFT(SUBSTITUTE(C160," ",""),2))&amp;"-"&amp;D160</f>
        <v>FN-10-GL-40</v>
      </c>
      <c r="H160" t="str">
        <f>IF(OR(F160="",G160=""),"",MAX(0,F160-G160))</f>
        <v/>
      </c>
      <c r="I160" s="6">
        <v>2</v>
      </c>
      <c r="J160" t="str">
        <f>IF(H160="","Not Set",IF(H160=0,"Out of Stock",IF(H160&lt;=I160,"Low Stock","In Stock")))</f>
        <v>Not Set</v>
      </c>
    </row>
    <row r="161" spans="1:10">
      <c r="A161" t="s">
        <v>238</v>
      </c>
      <c r="B161" t="s">
        <v>239</v>
      </c>
      <c r="C161" t="s">
        <v>241</v>
      </c>
      <c r="D161" s="6">
        <v>41</v>
      </c>
      <c r="E161" t="str">
        <f>A161&amp;"-"&amp;UPPER(LEFT(SUBSTITUTE(C161," ",""),2))&amp;"-"&amp;D161</f>
        <v>FN-10-GL-41</v>
      </c>
      <c r="H161" t="str">
        <f>IF(OR(F161="",G161=""),"",MAX(0,F161-G161))</f>
        <v/>
      </c>
      <c r="I161" s="6">
        <v>2</v>
      </c>
      <c r="J161" t="str">
        <f>IF(H161="","Not Set",IF(H161=0,"Out of Stock",IF(H161&lt;=I161,"Low Stock","In Stock")))</f>
        <v>Not Set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topLeftCell="H1" zoomScaleNormal="100" zoomScaleSheetLayoutView="100" workbookViewId="0">
      <selection activeCell="Q10" sqref="Q10"/>
    </sheetView>
  </sheetViews>
  <sheetFormatPr defaultRowHeight="15"/>
  <cols>
    <col min="1" max="1" width="12" customWidth="1"/>
    <col min="2" max="2" width="28.42578125" customWidth="1"/>
    <col min="3" max="3" width="30.140625" customWidth="1"/>
    <col min="4" max="4" width="24" customWidth="1"/>
    <col min="5" max="10" width="12" customWidth="1"/>
    <col min="11" max="11" width="30" customWidth="1"/>
    <col min="12" max="12" width="16" customWidth="1"/>
    <col min="13" max="13" width="35.140625" customWidth="1"/>
    <col min="14" max="14" width="56.7109375" customWidth="1"/>
    <col min="15" max="15" width="68" customWidth="1"/>
  </cols>
  <sheetData>
    <row r="1" spans="1:15">
      <c r="A1" s="1" t="s">
        <v>243</v>
      </c>
      <c r="B1" s="1" t="s">
        <v>11</v>
      </c>
      <c r="C1" s="1" t="s">
        <v>244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252</v>
      </c>
    </row>
    <row r="2" spans="1:15">
      <c r="A2" t="s">
        <v>31</v>
      </c>
      <c r="B2" t="s">
        <v>32</v>
      </c>
      <c r="C2" t="s">
        <v>36</v>
      </c>
      <c r="D2" t="s">
        <v>264</v>
      </c>
      <c r="E2" t="s">
        <v>265</v>
      </c>
      <c r="F2" t="s">
        <v>265</v>
      </c>
      <c r="G2" t="s">
        <v>265</v>
      </c>
      <c r="H2" t="s">
        <v>265</v>
      </c>
      <c r="I2" t="s">
        <v>265</v>
      </c>
      <c r="J2" t="s">
        <v>265</v>
      </c>
      <c r="K2" t="s">
        <v>266</v>
      </c>
      <c r="L2" t="s">
        <v>267</v>
      </c>
      <c r="M2" t="s">
        <v>268</v>
      </c>
      <c r="N2" t="s">
        <v>269</v>
      </c>
      <c r="O2" t="s">
        <v>41</v>
      </c>
    </row>
    <row r="3" spans="1:15">
      <c r="A3" t="s">
        <v>42</v>
      </c>
      <c r="B3" t="s">
        <v>43</v>
      </c>
      <c r="C3" t="s">
        <v>45</v>
      </c>
      <c r="D3" t="s">
        <v>264</v>
      </c>
      <c r="E3" t="s">
        <v>265</v>
      </c>
      <c r="F3" t="s">
        <v>265</v>
      </c>
      <c r="G3" t="s">
        <v>265</v>
      </c>
      <c r="H3" t="s">
        <v>265</v>
      </c>
      <c r="I3" t="s">
        <v>265</v>
      </c>
      <c r="J3" t="s">
        <v>265</v>
      </c>
      <c r="K3" t="s">
        <v>270</v>
      </c>
      <c r="L3" t="s">
        <v>267</v>
      </c>
      <c r="M3" t="s">
        <v>271</v>
      </c>
      <c r="N3" t="s">
        <v>272</v>
      </c>
      <c r="O3" t="s">
        <v>46</v>
      </c>
    </row>
    <row r="4" spans="1:15">
      <c r="A4" t="s">
        <v>47</v>
      </c>
      <c r="B4" t="s">
        <v>48</v>
      </c>
      <c r="C4" t="s">
        <v>51</v>
      </c>
      <c r="D4" t="s">
        <v>264</v>
      </c>
      <c r="E4" t="s">
        <v>265</v>
      </c>
      <c r="F4" t="s">
        <v>265</v>
      </c>
      <c r="G4" t="s">
        <v>265</v>
      </c>
      <c r="H4" t="s">
        <v>265</v>
      </c>
      <c r="I4" t="s">
        <v>265</v>
      </c>
      <c r="J4" t="s">
        <v>265</v>
      </c>
      <c r="K4" t="s">
        <v>270</v>
      </c>
      <c r="L4" t="s">
        <v>267</v>
      </c>
      <c r="M4" t="s">
        <v>273</v>
      </c>
      <c r="N4" t="s">
        <v>274</v>
      </c>
      <c r="O4" t="s">
        <v>52</v>
      </c>
    </row>
    <row r="5" spans="1:15">
      <c r="A5" t="s">
        <v>53</v>
      </c>
      <c r="B5" t="s">
        <v>54</v>
      </c>
      <c r="C5" t="s">
        <v>57</v>
      </c>
      <c r="D5" t="s">
        <v>264</v>
      </c>
      <c r="E5" t="s">
        <v>265</v>
      </c>
      <c r="F5" t="s">
        <v>265</v>
      </c>
      <c r="G5" t="s">
        <v>265</v>
      </c>
      <c r="H5" t="s">
        <v>265</v>
      </c>
      <c r="I5" t="s">
        <v>265</v>
      </c>
      <c r="J5" t="s">
        <v>265</v>
      </c>
      <c r="K5" t="s">
        <v>266</v>
      </c>
      <c r="L5" t="s">
        <v>267</v>
      </c>
      <c r="M5" t="s">
        <v>275</v>
      </c>
      <c r="N5" t="s">
        <v>276</v>
      </c>
      <c r="O5" t="s">
        <v>58</v>
      </c>
    </row>
    <row r="6" spans="1:15">
      <c r="A6" t="s">
        <v>59</v>
      </c>
      <c r="B6" t="s">
        <v>60</v>
      </c>
      <c r="C6" t="s">
        <v>62</v>
      </c>
      <c r="D6" t="s">
        <v>264</v>
      </c>
      <c r="E6" t="s">
        <v>265</v>
      </c>
      <c r="F6" t="s">
        <v>265</v>
      </c>
      <c r="G6" t="s">
        <v>265</v>
      </c>
      <c r="H6" t="s">
        <v>265</v>
      </c>
      <c r="I6" t="s">
        <v>265</v>
      </c>
      <c r="J6" t="s">
        <v>265</v>
      </c>
      <c r="K6" t="s">
        <v>270</v>
      </c>
      <c r="L6" t="s">
        <v>267</v>
      </c>
      <c r="M6" t="s">
        <v>277</v>
      </c>
      <c r="N6" t="s">
        <v>278</v>
      </c>
      <c r="O6" t="s">
        <v>63</v>
      </c>
    </row>
    <row r="7" spans="1:15">
      <c r="A7" t="s">
        <v>64</v>
      </c>
      <c r="B7" t="s">
        <v>65</v>
      </c>
      <c r="C7" t="s">
        <v>68</v>
      </c>
      <c r="D7" t="s">
        <v>264</v>
      </c>
      <c r="E7" t="s">
        <v>265</v>
      </c>
      <c r="F7" t="s">
        <v>265</v>
      </c>
      <c r="G7" t="s">
        <v>265</v>
      </c>
      <c r="H7" t="s">
        <v>265</v>
      </c>
      <c r="I7" t="s">
        <v>265</v>
      </c>
      <c r="J7" t="s">
        <v>265</v>
      </c>
      <c r="K7" t="s">
        <v>270</v>
      </c>
      <c r="L7" t="s">
        <v>267</v>
      </c>
      <c r="M7" t="s">
        <v>279</v>
      </c>
      <c r="N7" t="s">
        <v>280</v>
      </c>
      <c r="O7" t="s">
        <v>69</v>
      </c>
    </row>
    <row r="8" spans="1:15">
      <c r="A8" t="s">
        <v>70</v>
      </c>
      <c r="B8" t="s">
        <v>71</v>
      </c>
      <c r="C8" t="s">
        <v>57</v>
      </c>
      <c r="D8" t="s">
        <v>264</v>
      </c>
      <c r="E8" t="s">
        <v>265</v>
      </c>
      <c r="F8" t="s">
        <v>265</v>
      </c>
      <c r="G8" t="s">
        <v>265</v>
      </c>
      <c r="H8" t="s">
        <v>265</v>
      </c>
      <c r="I8" t="s">
        <v>265</v>
      </c>
      <c r="J8" t="s">
        <v>265</v>
      </c>
      <c r="K8" t="s">
        <v>266</v>
      </c>
      <c r="L8" t="s">
        <v>267</v>
      </c>
      <c r="M8" t="s">
        <v>281</v>
      </c>
      <c r="N8" t="s">
        <v>282</v>
      </c>
      <c r="O8" t="s">
        <v>73</v>
      </c>
    </row>
    <row r="9" spans="1:15">
      <c r="A9" t="s">
        <v>74</v>
      </c>
      <c r="B9" t="s">
        <v>75</v>
      </c>
      <c r="C9" t="s">
        <v>78</v>
      </c>
      <c r="D9" t="s">
        <v>264</v>
      </c>
      <c r="E9" t="s">
        <v>265</v>
      </c>
      <c r="F9" t="s">
        <v>265</v>
      </c>
      <c r="G9" t="s">
        <v>265</v>
      </c>
      <c r="H9" t="s">
        <v>265</v>
      </c>
      <c r="I9" t="s">
        <v>265</v>
      </c>
      <c r="J9" t="s">
        <v>265</v>
      </c>
      <c r="K9" t="s">
        <v>270</v>
      </c>
      <c r="L9" t="s">
        <v>267</v>
      </c>
      <c r="M9" t="s">
        <v>283</v>
      </c>
      <c r="N9" t="s">
        <v>284</v>
      </c>
      <c r="O9" t="s">
        <v>79</v>
      </c>
    </row>
    <row r="10" spans="1:15">
      <c r="A10" t="s">
        <v>80</v>
      </c>
      <c r="B10" t="s">
        <v>81</v>
      </c>
      <c r="C10" t="s">
        <v>45</v>
      </c>
      <c r="D10" t="s">
        <v>264</v>
      </c>
      <c r="E10" t="s">
        <v>265</v>
      </c>
      <c r="F10" t="s">
        <v>265</v>
      </c>
      <c r="G10" t="s">
        <v>265</v>
      </c>
      <c r="H10" t="s">
        <v>265</v>
      </c>
      <c r="I10" t="s">
        <v>265</v>
      </c>
      <c r="J10" t="s">
        <v>265</v>
      </c>
      <c r="K10" t="s">
        <v>270</v>
      </c>
      <c r="L10" t="s">
        <v>267</v>
      </c>
      <c r="M10" t="s">
        <v>285</v>
      </c>
      <c r="N10" t="s">
        <v>286</v>
      </c>
      <c r="O10" t="s">
        <v>83</v>
      </c>
    </row>
    <row r="11" spans="1:15">
      <c r="A11" t="s">
        <v>84</v>
      </c>
      <c r="B11" t="s">
        <v>85</v>
      </c>
      <c r="C11" t="s">
        <v>87</v>
      </c>
      <c r="D11" t="s">
        <v>264</v>
      </c>
      <c r="E11" t="s">
        <v>265</v>
      </c>
      <c r="F11" t="s">
        <v>265</v>
      </c>
      <c r="G11" t="s">
        <v>265</v>
      </c>
      <c r="H11" t="s">
        <v>265</v>
      </c>
      <c r="I11" t="s">
        <v>265</v>
      </c>
      <c r="J11" t="s">
        <v>265</v>
      </c>
      <c r="K11" t="s">
        <v>270</v>
      </c>
      <c r="L11" t="s">
        <v>267</v>
      </c>
      <c r="M11" t="s">
        <v>287</v>
      </c>
      <c r="N11" t="s">
        <v>288</v>
      </c>
      <c r="O11" t="s">
        <v>88</v>
      </c>
    </row>
    <row r="12" spans="1:15">
      <c r="A12" t="s">
        <v>89</v>
      </c>
      <c r="B12" t="s">
        <v>90</v>
      </c>
      <c r="C12" t="s">
        <v>62</v>
      </c>
      <c r="D12" t="s">
        <v>264</v>
      </c>
      <c r="E12" t="s">
        <v>265</v>
      </c>
      <c r="F12" t="s">
        <v>265</v>
      </c>
      <c r="G12" t="s">
        <v>265</v>
      </c>
      <c r="H12" t="s">
        <v>265</v>
      </c>
      <c r="I12" t="s">
        <v>265</v>
      </c>
      <c r="J12" t="s">
        <v>265</v>
      </c>
      <c r="K12" t="s">
        <v>270</v>
      </c>
      <c r="L12" t="s">
        <v>267</v>
      </c>
      <c r="M12" t="s">
        <v>289</v>
      </c>
      <c r="N12" t="s">
        <v>290</v>
      </c>
      <c r="O12" t="s">
        <v>291</v>
      </c>
    </row>
    <row r="13" spans="1:15">
      <c r="A13" t="s">
        <v>95</v>
      </c>
      <c r="B13" t="s">
        <v>96</v>
      </c>
      <c r="C13" t="s">
        <v>57</v>
      </c>
      <c r="D13" t="s">
        <v>264</v>
      </c>
      <c r="E13" t="s">
        <v>265</v>
      </c>
      <c r="F13" t="s">
        <v>265</v>
      </c>
      <c r="G13" t="s">
        <v>265</v>
      </c>
      <c r="H13" t="s">
        <v>265</v>
      </c>
      <c r="I13" t="s">
        <v>265</v>
      </c>
      <c r="J13" t="s">
        <v>265</v>
      </c>
      <c r="K13" t="s">
        <v>266</v>
      </c>
      <c r="L13" t="s">
        <v>267</v>
      </c>
      <c r="M13" t="s">
        <v>292</v>
      </c>
      <c r="N13" t="s">
        <v>293</v>
      </c>
      <c r="O13" t="s">
        <v>99</v>
      </c>
    </row>
    <row r="14" spans="1:15">
      <c r="A14" t="s">
        <v>100</v>
      </c>
      <c r="B14" t="s">
        <v>101</v>
      </c>
      <c r="C14" t="s">
        <v>36</v>
      </c>
      <c r="D14" t="s">
        <v>294</v>
      </c>
      <c r="E14" t="s">
        <v>265</v>
      </c>
      <c r="F14" t="s">
        <v>265</v>
      </c>
      <c r="G14" t="s">
        <v>265</v>
      </c>
      <c r="H14" t="s">
        <v>265</v>
      </c>
      <c r="I14" t="s">
        <v>265</v>
      </c>
      <c r="J14" t="s">
        <v>265</v>
      </c>
      <c r="K14" t="s">
        <v>266</v>
      </c>
      <c r="L14" t="s">
        <v>267</v>
      </c>
      <c r="M14" t="s">
        <v>295</v>
      </c>
      <c r="N14" t="s">
        <v>296</v>
      </c>
      <c r="O14" t="s">
        <v>104</v>
      </c>
    </row>
    <row r="15" spans="1:15">
      <c r="A15" t="s">
        <v>105</v>
      </c>
      <c r="B15" t="s">
        <v>106</v>
      </c>
      <c r="C15" t="s">
        <v>109</v>
      </c>
      <c r="D15" t="s">
        <v>294</v>
      </c>
      <c r="E15" t="s">
        <v>265</v>
      </c>
      <c r="F15" t="s">
        <v>265</v>
      </c>
      <c r="G15" t="s">
        <v>265</v>
      </c>
      <c r="H15" t="s">
        <v>265</v>
      </c>
      <c r="I15" t="s">
        <v>265</v>
      </c>
      <c r="J15" t="s">
        <v>265</v>
      </c>
      <c r="K15" t="s">
        <v>266</v>
      </c>
      <c r="L15" t="s">
        <v>267</v>
      </c>
      <c r="M15" t="s">
        <v>297</v>
      </c>
      <c r="N15" t="s">
        <v>298</v>
      </c>
      <c r="O15" t="s">
        <v>104</v>
      </c>
    </row>
    <row r="16" spans="1:15">
      <c r="A16" t="s">
        <v>110</v>
      </c>
      <c r="B16" t="s">
        <v>111</v>
      </c>
      <c r="C16" t="s">
        <v>62</v>
      </c>
      <c r="D16" t="s">
        <v>294</v>
      </c>
      <c r="E16" t="s">
        <v>265</v>
      </c>
      <c r="F16" t="s">
        <v>265</v>
      </c>
      <c r="G16" t="s">
        <v>265</v>
      </c>
      <c r="H16" t="s">
        <v>265</v>
      </c>
      <c r="I16" t="s">
        <v>265</v>
      </c>
      <c r="J16" t="s">
        <v>265</v>
      </c>
      <c r="K16" t="s">
        <v>266</v>
      </c>
      <c r="L16" t="s">
        <v>267</v>
      </c>
      <c r="M16" t="s">
        <v>299</v>
      </c>
      <c r="N16" t="s">
        <v>300</v>
      </c>
      <c r="O16" t="s">
        <v>113</v>
      </c>
    </row>
    <row r="17" spans="1:15">
      <c r="A17" t="s">
        <v>114</v>
      </c>
      <c r="B17" t="s">
        <v>115</v>
      </c>
      <c r="C17" t="s">
        <v>117</v>
      </c>
      <c r="D17" t="s">
        <v>294</v>
      </c>
      <c r="E17" t="s">
        <v>265</v>
      </c>
      <c r="F17" t="s">
        <v>265</v>
      </c>
      <c r="G17" t="s">
        <v>265</v>
      </c>
      <c r="H17" t="s">
        <v>265</v>
      </c>
      <c r="I17" t="s">
        <v>265</v>
      </c>
      <c r="J17" t="s">
        <v>265</v>
      </c>
      <c r="K17" t="s">
        <v>270</v>
      </c>
      <c r="L17" t="s">
        <v>267</v>
      </c>
      <c r="M17" t="s">
        <v>301</v>
      </c>
      <c r="N17" t="s">
        <v>302</v>
      </c>
      <c r="O17" t="s">
        <v>118</v>
      </c>
    </row>
    <row r="18" spans="1:15">
      <c r="A18" t="s">
        <v>119</v>
      </c>
      <c r="B18" t="s">
        <v>120</v>
      </c>
      <c r="C18" t="s">
        <v>123</v>
      </c>
      <c r="D18" t="s">
        <v>294</v>
      </c>
      <c r="E18" t="s">
        <v>265</v>
      </c>
      <c r="F18" t="s">
        <v>265</v>
      </c>
      <c r="G18" t="s">
        <v>265</v>
      </c>
      <c r="H18" t="s">
        <v>265</v>
      </c>
      <c r="I18" t="s">
        <v>265</v>
      </c>
      <c r="J18" t="s">
        <v>265</v>
      </c>
      <c r="K18" t="s">
        <v>266</v>
      </c>
      <c r="L18" t="s">
        <v>267</v>
      </c>
      <c r="M18" t="s">
        <v>303</v>
      </c>
      <c r="N18" t="s">
        <v>304</v>
      </c>
      <c r="O18" t="s">
        <v>125</v>
      </c>
    </row>
    <row r="19" spans="1:15">
      <c r="A19" t="s">
        <v>126</v>
      </c>
      <c r="B19" t="s">
        <v>127</v>
      </c>
      <c r="C19" t="s">
        <v>129</v>
      </c>
      <c r="D19" t="s">
        <v>294</v>
      </c>
      <c r="E19" t="s">
        <v>265</v>
      </c>
      <c r="F19" t="s">
        <v>265</v>
      </c>
      <c r="G19" t="s">
        <v>265</v>
      </c>
      <c r="H19" t="s">
        <v>265</v>
      </c>
      <c r="I19" t="s">
        <v>265</v>
      </c>
      <c r="J19" t="s">
        <v>265</v>
      </c>
      <c r="K19" t="s">
        <v>270</v>
      </c>
      <c r="L19" t="s">
        <v>267</v>
      </c>
      <c r="M19" t="s">
        <v>305</v>
      </c>
      <c r="N19" t="s">
        <v>306</v>
      </c>
      <c r="O19" t="s">
        <v>130</v>
      </c>
    </row>
    <row r="20" spans="1:15">
      <c r="A20" t="s">
        <v>131</v>
      </c>
      <c r="B20" t="s">
        <v>132</v>
      </c>
      <c r="C20" t="s">
        <v>68</v>
      </c>
      <c r="D20" t="s">
        <v>294</v>
      </c>
      <c r="E20" t="s">
        <v>265</v>
      </c>
      <c r="F20" t="s">
        <v>265</v>
      </c>
      <c r="G20" t="s">
        <v>265</v>
      </c>
      <c r="H20" t="s">
        <v>265</v>
      </c>
      <c r="I20" t="s">
        <v>265</v>
      </c>
      <c r="J20" t="s">
        <v>265</v>
      </c>
      <c r="K20" t="s">
        <v>266</v>
      </c>
      <c r="L20" t="s">
        <v>267</v>
      </c>
      <c r="M20" t="s">
        <v>307</v>
      </c>
      <c r="N20" t="s">
        <v>308</v>
      </c>
      <c r="O20" t="s">
        <v>134</v>
      </c>
    </row>
    <row r="21" spans="1:15">
      <c r="A21" t="s">
        <v>135</v>
      </c>
      <c r="B21" t="s">
        <v>136</v>
      </c>
      <c r="C21" t="s">
        <v>78</v>
      </c>
      <c r="D21" t="s">
        <v>294</v>
      </c>
      <c r="E21" t="s">
        <v>265</v>
      </c>
      <c r="F21" t="s">
        <v>265</v>
      </c>
      <c r="G21" t="s">
        <v>265</v>
      </c>
      <c r="H21" t="s">
        <v>265</v>
      </c>
      <c r="I21" t="s">
        <v>265</v>
      </c>
      <c r="J21" t="s">
        <v>265</v>
      </c>
      <c r="K21" t="s">
        <v>266</v>
      </c>
      <c r="L21" t="s">
        <v>267</v>
      </c>
      <c r="M21" t="s">
        <v>309</v>
      </c>
      <c r="N21" t="s">
        <v>310</v>
      </c>
      <c r="O21" t="s">
        <v>138</v>
      </c>
    </row>
    <row r="22" spans="1:15">
      <c r="A22" t="s">
        <v>139</v>
      </c>
      <c r="B22" t="s">
        <v>140</v>
      </c>
      <c r="C22" t="s">
        <v>142</v>
      </c>
      <c r="D22" t="s">
        <v>294</v>
      </c>
      <c r="E22" t="s">
        <v>265</v>
      </c>
      <c r="F22" t="s">
        <v>265</v>
      </c>
      <c r="G22" t="s">
        <v>265</v>
      </c>
      <c r="H22" t="s">
        <v>265</v>
      </c>
      <c r="I22" t="s">
        <v>265</v>
      </c>
      <c r="J22" t="s">
        <v>265</v>
      </c>
      <c r="K22" t="s">
        <v>270</v>
      </c>
      <c r="L22" t="s">
        <v>267</v>
      </c>
      <c r="M22" t="s">
        <v>311</v>
      </c>
      <c r="N22" t="s">
        <v>312</v>
      </c>
      <c r="O22" t="s">
        <v>143</v>
      </c>
    </row>
    <row r="23" spans="1:15">
      <c r="A23" t="s">
        <v>144</v>
      </c>
      <c r="B23" t="s">
        <v>145</v>
      </c>
      <c r="C23" t="s">
        <v>147</v>
      </c>
      <c r="D23" t="s">
        <v>294</v>
      </c>
      <c r="E23" t="s">
        <v>265</v>
      </c>
      <c r="F23" t="s">
        <v>265</v>
      </c>
      <c r="G23" t="s">
        <v>265</v>
      </c>
      <c r="H23" t="s">
        <v>265</v>
      </c>
      <c r="I23" t="s">
        <v>265</v>
      </c>
      <c r="J23" t="s">
        <v>265</v>
      </c>
      <c r="K23" t="s">
        <v>266</v>
      </c>
      <c r="L23" t="s">
        <v>267</v>
      </c>
      <c r="M23" t="s">
        <v>313</v>
      </c>
      <c r="N23" t="s">
        <v>314</v>
      </c>
      <c r="O23" t="s">
        <v>148</v>
      </c>
    </row>
    <row r="24" spans="1:15">
      <c r="A24" t="s">
        <v>149</v>
      </c>
      <c r="B24" t="s">
        <v>150</v>
      </c>
      <c r="C24" t="s">
        <v>152</v>
      </c>
      <c r="D24" t="s">
        <v>294</v>
      </c>
      <c r="E24" t="s">
        <v>265</v>
      </c>
      <c r="F24" t="s">
        <v>265</v>
      </c>
      <c r="G24" t="s">
        <v>265</v>
      </c>
      <c r="H24" t="s">
        <v>265</v>
      </c>
      <c r="I24" t="s">
        <v>265</v>
      </c>
      <c r="J24" t="s">
        <v>265</v>
      </c>
      <c r="K24" t="s">
        <v>270</v>
      </c>
      <c r="L24" t="s">
        <v>267</v>
      </c>
      <c r="M24" t="s">
        <v>315</v>
      </c>
      <c r="N24" t="s">
        <v>316</v>
      </c>
      <c r="O24" t="s">
        <v>153</v>
      </c>
    </row>
    <row r="25" spans="1:15">
      <c r="A25" t="s">
        <v>154</v>
      </c>
      <c r="B25" t="s">
        <v>155</v>
      </c>
      <c r="C25" t="s">
        <v>157</v>
      </c>
      <c r="D25" t="s">
        <v>294</v>
      </c>
      <c r="E25" t="s">
        <v>265</v>
      </c>
      <c r="F25" t="s">
        <v>265</v>
      </c>
      <c r="G25" t="s">
        <v>265</v>
      </c>
      <c r="H25" t="s">
        <v>265</v>
      </c>
      <c r="I25" t="s">
        <v>265</v>
      </c>
      <c r="J25" t="s">
        <v>265</v>
      </c>
      <c r="K25" t="s">
        <v>270</v>
      </c>
      <c r="L25" t="s">
        <v>267</v>
      </c>
      <c r="M25" t="s">
        <v>317</v>
      </c>
      <c r="N25" t="s">
        <v>318</v>
      </c>
      <c r="O25" t="s">
        <v>158</v>
      </c>
    </row>
    <row r="26" spans="1:15">
      <c r="A26" t="s">
        <v>159</v>
      </c>
      <c r="B26" t="s">
        <v>160</v>
      </c>
      <c r="C26" t="s">
        <v>162</v>
      </c>
      <c r="D26" t="s">
        <v>294</v>
      </c>
      <c r="E26" t="s">
        <v>265</v>
      </c>
      <c r="F26" t="s">
        <v>265</v>
      </c>
      <c r="G26" t="s">
        <v>265</v>
      </c>
      <c r="H26" t="s">
        <v>265</v>
      </c>
      <c r="I26" t="s">
        <v>265</v>
      </c>
      <c r="J26" t="s">
        <v>265</v>
      </c>
      <c r="K26" t="s">
        <v>270</v>
      </c>
      <c r="L26" t="s">
        <v>267</v>
      </c>
      <c r="M26" t="s">
        <v>319</v>
      </c>
      <c r="N26" t="s">
        <v>320</v>
      </c>
      <c r="O26" t="s">
        <v>164</v>
      </c>
    </row>
    <row r="27" spans="1:15">
      <c r="A27" t="s">
        <v>165</v>
      </c>
      <c r="B27" t="s">
        <v>166</v>
      </c>
      <c r="C27" t="s">
        <v>147</v>
      </c>
      <c r="D27" t="s">
        <v>294</v>
      </c>
      <c r="E27" t="s">
        <v>265</v>
      </c>
      <c r="F27" t="s">
        <v>265</v>
      </c>
      <c r="G27" t="s">
        <v>265</v>
      </c>
      <c r="H27" t="s">
        <v>265</v>
      </c>
      <c r="I27" t="s">
        <v>265</v>
      </c>
      <c r="J27" t="s">
        <v>265</v>
      </c>
      <c r="K27" t="s">
        <v>266</v>
      </c>
      <c r="L27" t="s">
        <v>267</v>
      </c>
      <c r="M27" t="s">
        <v>321</v>
      </c>
      <c r="N27" t="s">
        <v>322</v>
      </c>
      <c r="O27" t="s">
        <v>168</v>
      </c>
    </row>
    <row r="28" spans="1:15">
      <c r="A28" t="s">
        <v>169</v>
      </c>
      <c r="B28" t="s">
        <v>170</v>
      </c>
      <c r="C28" t="s">
        <v>172</v>
      </c>
      <c r="D28" t="s">
        <v>294</v>
      </c>
      <c r="E28" t="s">
        <v>265</v>
      </c>
      <c r="F28" t="s">
        <v>265</v>
      </c>
      <c r="G28" t="s">
        <v>265</v>
      </c>
      <c r="H28" t="s">
        <v>265</v>
      </c>
      <c r="I28" t="s">
        <v>265</v>
      </c>
      <c r="J28" t="s">
        <v>265</v>
      </c>
      <c r="K28" t="s">
        <v>270</v>
      </c>
      <c r="L28" t="s">
        <v>267</v>
      </c>
      <c r="M28" t="s">
        <v>323</v>
      </c>
      <c r="N28" t="s">
        <v>324</v>
      </c>
      <c r="O28" t="s">
        <v>174</v>
      </c>
    </row>
    <row r="29" spans="1:15">
      <c r="A29" t="s">
        <v>175</v>
      </c>
      <c r="B29" t="s">
        <v>176</v>
      </c>
      <c r="C29" t="s">
        <v>142</v>
      </c>
      <c r="D29" t="s">
        <v>294</v>
      </c>
      <c r="E29" t="s">
        <v>265</v>
      </c>
      <c r="F29" t="s">
        <v>265</v>
      </c>
      <c r="G29" t="s">
        <v>265</v>
      </c>
      <c r="H29" t="s">
        <v>265</v>
      </c>
      <c r="I29" t="s">
        <v>265</v>
      </c>
      <c r="J29" t="s">
        <v>265</v>
      </c>
      <c r="K29" t="s">
        <v>270</v>
      </c>
      <c r="L29" t="s">
        <v>267</v>
      </c>
      <c r="M29" t="s">
        <v>325</v>
      </c>
      <c r="N29" t="s">
        <v>326</v>
      </c>
      <c r="O29" t="s">
        <v>179</v>
      </c>
    </row>
    <row r="30" spans="1:15">
      <c r="A30" t="s">
        <v>180</v>
      </c>
      <c r="B30" t="s">
        <v>181</v>
      </c>
      <c r="C30" t="s">
        <v>183</v>
      </c>
      <c r="D30" t="s">
        <v>294</v>
      </c>
      <c r="E30" t="s">
        <v>265</v>
      </c>
      <c r="F30" t="s">
        <v>265</v>
      </c>
      <c r="G30" t="s">
        <v>265</v>
      </c>
      <c r="H30" t="s">
        <v>265</v>
      </c>
      <c r="I30" t="s">
        <v>265</v>
      </c>
      <c r="J30" t="s">
        <v>265</v>
      </c>
      <c r="K30" t="s">
        <v>270</v>
      </c>
      <c r="L30" t="s">
        <v>267</v>
      </c>
      <c r="M30" t="s">
        <v>327</v>
      </c>
      <c r="N30" t="s">
        <v>328</v>
      </c>
      <c r="O30" t="s">
        <v>185</v>
      </c>
    </row>
    <row r="31" spans="1:15">
      <c r="A31" t="s">
        <v>186</v>
      </c>
      <c r="B31" t="s">
        <v>187</v>
      </c>
      <c r="C31" t="s">
        <v>189</v>
      </c>
      <c r="D31" t="s">
        <v>294</v>
      </c>
      <c r="E31" t="s">
        <v>265</v>
      </c>
      <c r="F31" t="s">
        <v>265</v>
      </c>
      <c r="G31" t="s">
        <v>265</v>
      </c>
      <c r="H31" t="s">
        <v>265</v>
      </c>
      <c r="I31" t="s">
        <v>265</v>
      </c>
      <c r="J31" t="s">
        <v>265</v>
      </c>
      <c r="K31" t="s">
        <v>266</v>
      </c>
      <c r="L31" t="s">
        <v>267</v>
      </c>
      <c r="M31" t="s">
        <v>329</v>
      </c>
      <c r="N31" t="s">
        <v>330</v>
      </c>
      <c r="O31" t="s">
        <v>174</v>
      </c>
    </row>
    <row r="32" spans="1:15">
      <c r="A32" t="s">
        <v>191</v>
      </c>
      <c r="B32" t="s">
        <v>192</v>
      </c>
      <c r="C32" t="s">
        <v>194</v>
      </c>
      <c r="D32" t="s">
        <v>294</v>
      </c>
      <c r="E32" t="s">
        <v>265</v>
      </c>
      <c r="F32" t="s">
        <v>265</v>
      </c>
      <c r="G32" t="s">
        <v>265</v>
      </c>
      <c r="H32" t="s">
        <v>265</v>
      </c>
      <c r="I32" t="s">
        <v>265</v>
      </c>
      <c r="J32" t="s">
        <v>265</v>
      </c>
      <c r="K32" t="s">
        <v>266</v>
      </c>
      <c r="L32" t="s">
        <v>267</v>
      </c>
      <c r="M32" t="s">
        <v>331</v>
      </c>
      <c r="N32" t="s">
        <v>332</v>
      </c>
      <c r="O32" t="s">
        <v>195</v>
      </c>
    </row>
    <row r="33" spans="1:15">
      <c r="A33" t="s">
        <v>196</v>
      </c>
      <c r="B33" t="s">
        <v>197</v>
      </c>
      <c r="C33" t="s">
        <v>199</v>
      </c>
      <c r="D33" t="s">
        <v>294</v>
      </c>
      <c r="E33" t="s">
        <v>265</v>
      </c>
      <c r="F33" t="s">
        <v>265</v>
      </c>
      <c r="G33" t="s">
        <v>265</v>
      </c>
      <c r="H33" t="s">
        <v>265</v>
      </c>
      <c r="I33" t="s">
        <v>265</v>
      </c>
      <c r="J33" t="s">
        <v>265</v>
      </c>
      <c r="K33" t="s">
        <v>266</v>
      </c>
      <c r="L33" t="s">
        <v>267</v>
      </c>
      <c r="M33" t="s">
        <v>333</v>
      </c>
      <c r="N33" t="s">
        <v>334</v>
      </c>
      <c r="O33" t="s">
        <v>200</v>
      </c>
    </row>
    <row r="34" spans="1:15">
      <c r="A34" t="s">
        <v>201</v>
      </c>
      <c r="B34" t="s">
        <v>202</v>
      </c>
      <c r="C34" t="s">
        <v>204</v>
      </c>
      <c r="D34" t="s">
        <v>294</v>
      </c>
      <c r="E34" t="s">
        <v>265</v>
      </c>
      <c r="F34" t="s">
        <v>265</v>
      </c>
      <c r="G34" t="s">
        <v>265</v>
      </c>
      <c r="H34" t="s">
        <v>265</v>
      </c>
      <c r="I34" t="s">
        <v>265</v>
      </c>
      <c r="J34" t="s">
        <v>265</v>
      </c>
      <c r="K34" t="s">
        <v>270</v>
      </c>
      <c r="L34" t="s">
        <v>267</v>
      </c>
      <c r="M34" t="s">
        <v>335</v>
      </c>
      <c r="N34" t="s">
        <v>336</v>
      </c>
      <c r="O34" t="s">
        <v>205</v>
      </c>
    </row>
    <row r="35" spans="1:15">
      <c r="A35" t="s">
        <v>206</v>
      </c>
      <c r="B35" t="s">
        <v>207</v>
      </c>
      <c r="C35" t="s">
        <v>209</v>
      </c>
      <c r="D35" t="s">
        <v>294</v>
      </c>
      <c r="E35" t="s">
        <v>265</v>
      </c>
      <c r="F35" t="s">
        <v>265</v>
      </c>
      <c r="G35" t="s">
        <v>265</v>
      </c>
      <c r="H35" t="s">
        <v>265</v>
      </c>
      <c r="I35" t="s">
        <v>265</v>
      </c>
      <c r="J35" t="s">
        <v>265</v>
      </c>
      <c r="K35" t="s">
        <v>266</v>
      </c>
      <c r="L35" t="s">
        <v>267</v>
      </c>
      <c r="M35" t="s">
        <v>337</v>
      </c>
      <c r="N35" t="s">
        <v>338</v>
      </c>
      <c r="O35" t="s">
        <v>210</v>
      </c>
    </row>
    <row r="36" spans="1:15">
      <c r="A36" t="s">
        <v>211</v>
      </c>
      <c r="B36" t="s">
        <v>212</v>
      </c>
      <c r="C36" t="s">
        <v>214</v>
      </c>
      <c r="D36" t="s">
        <v>294</v>
      </c>
      <c r="E36" t="s">
        <v>265</v>
      </c>
      <c r="F36" t="s">
        <v>265</v>
      </c>
      <c r="G36" t="s">
        <v>265</v>
      </c>
      <c r="H36" t="s">
        <v>265</v>
      </c>
      <c r="I36" t="s">
        <v>265</v>
      </c>
      <c r="J36" t="s">
        <v>265</v>
      </c>
      <c r="K36" t="s">
        <v>266</v>
      </c>
      <c r="L36" t="s">
        <v>267</v>
      </c>
      <c r="M36" t="s">
        <v>339</v>
      </c>
      <c r="N36" t="s">
        <v>340</v>
      </c>
      <c r="O36" t="s">
        <v>215</v>
      </c>
    </row>
    <row r="37" spans="1:15">
      <c r="A37" t="s">
        <v>216</v>
      </c>
      <c r="B37" t="s">
        <v>217</v>
      </c>
      <c r="C37" t="s">
        <v>220</v>
      </c>
      <c r="D37" t="s">
        <v>294</v>
      </c>
      <c r="E37" t="s">
        <v>265</v>
      </c>
      <c r="F37" t="s">
        <v>265</v>
      </c>
      <c r="G37" t="s">
        <v>265</v>
      </c>
      <c r="H37" t="s">
        <v>265</v>
      </c>
      <c r="I37" t="s">
        <v>265</v>
      </c>
      <c r="J37" t="s">
        <v>265</v>
      </c>
      <c r="K37" t="s">
        <v>270</v>
      </c>
      <c r="L37" t="s">
        <v>267</v>
      </c>
      <c r="M37" t="s">
        <v>341</v>
      </c>
      <c r="N37" t="s">
        <v>342</v>
      </c>
      <c r="O37" t="s">
        <v>221</v>
      </c>
    </row>
    <row r="38" spans="1:15">
      <c r="A38" t="s">
        <v>222</v>
      </c>
      <c r="B38" t="s">
        <v>223</v>
      </c>
      <c r="C38" t="s">
        <v>45</v>
      </c>
      <c r="D38" t="s">
        <v>294</v>
      </c>
      <c r="E38" t="s">
        <v>265</v>
      </c>
      <c r="F38" t="s">
        <v>265</v>
      </c>
      <c r="G38" t="s">
        <v>265</v>
      </c>
      <c r="H38" t="s">
        <v>265</v>
      </c>
      <c r="I38" t="s">
        <v>265</v>
      </c>
      <c r="J38" t="s">
        <v>265</v>
      </c>
      <c r="K38" t="s">
        <v>270</v>
      </c>
      <c r="L38" t="s">
        <v>267</v>
      </c>
      <c r="M38" t="s">
        <v>343</v>
      </c>
      <c r="N38" t="s">
        <v>344</v>
      </c>
      <c r="O38" t="s">
        <v>227</v>
      </c>
    </row>
    <row r="39" spans="1:15">
      <c r="A39" t="s">
        <v>228</v>
      </c>
      <c r="B39" t="s">
        <v>229</v>
      </c>
      <c r="C39" t="s">
        <v>57</v>
      </c>
      <c r="D39" t="s">
        <v>294</v>
      </c>
      <c r="E39" t="s">
        <v>265</v>
      </c>
      <c r="F39" t="s">
        <v>265</v>
      </c>
      <c r="G39" t="s">
        <v>265</v>
      </c>
      <c r="H39" t="s">
        <v>265</v>
      </c>
      <c r="I39" t="s">
        <v>265</v>
      </c>
      <c r="J39" t="s">
        <v>265</v>
      </c>
      <c r="K39" t="s">
        <v>266</v>
      </c>
      <c r="L39" t="s">
        <v>267</v>
      </c>
      <c r="M39" t="s">
        <v>345</v>
      </c>
      <c r="N39" t="s">
        <v>346</v>
      </c>
      <c r="O39" t="s">
        <v>231</v>
      </c>
    </row>
    <row r="40" spans="1:15">
      <c r="A40" t="s">
        <v>232</v>
      </c>
      <c r="B40" t="s">
        <v>233</v>
      </c>
      <c r="C40" t="s">
        <v>235</v>
      </c>
      <c r="D40" t="s">
        <v>294</v>
      </c>
      <c r="E40" t="s">
        <v>265</v>
      </c>
      <c r="F40" t="s">
        <v>265</v>
      </c>
      <c r="G40" t="s">
        <v>265</v>
      </c>
      <c r="H40" t="s">
        <v>265</v>
      </c>
      <c r="I40" t="s">
        <v>265</v>
      </c>
      <c r="J40" t="s">
        <v>265</v>
      </c>
      <c r="K40" t="s">
        <v>266</v>
      </c>
      <c r="L40" t="s">
        <v>267</v>
      </c>
      <c r="M40" t="s">
        <v>347</v>
      </c>
      <c r="N40" t="s">
        <v>348</v>
      </c>
      <c r="O40" t="s">
        <v>237</v>
      </c>
    </row>
    <row r="41" spans="1:15">
      <c r="A41" t="s">
        <v>238</v>
      </c>
      <c r="B41" t="s">
        <v>239</v>
      </c>
      <c r="C41" t="s">
        <v>241</v>
      </c>
      <c r="D41" t="s">
        <v>294</v>
      </c>
      <c r="E41" t="s">
        <v>265</v>
      </c>
      <c r="F41" t="s">
        <v>265</v>
      </c>
      <c r="G41" t="s">
        <v>265</v>
      </c>
      <c r="H41" t="s">
        <v>265</v>
      </c>
      <c r="I41" t="s">
        <v>265</v>
      </c>
      <c r="J41" t="s">
        <v>265</v>
      </c>
      <c r="K41" t="s">
        <v>270</v>
      </c>
      <c r="L41" t="s">
        <v>267</v>
      </c>
      <c r="M41" t="s">
        <v>349</v>
      </c>
      <c r="N41" t="s">
        <v>350</v>
      </c>
      <c r="O41" t="s">
        <v>242</v>
      </c>
    </row>
  </sheetData>
  <dataValidations count="1">
    <dataValidation type="list" allowBlank="1" sqref="L2:L200" xr:uid="{00000000-0002-0000-0400-000000000000}">
      <formula1>"No,Yes"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zoomScaleNormal="100" zoomScaleSheetLayoutView="100" workbookViewId="0">
      <selection activeCell="C1" sqref="C1"/>
    </sheetView>
  </sheetViews>
  <sheetFormatPr defaultRowHeight="15"/>
  <cols>
    <col min="1" max="2" width="12" customWidth="1"/>
    <col min="3" max="3" width="29" customWidth="1"/>
    <col min="4" max="4" width="22.7109375" customWidth="1"/>
    <col min="5" max="5" width="13" customWidth="1"/>
    <col min="6" max="6" width="18" customWidth="1"/>
    <col min="7" max="7" width="20" customWidth="1"/>
    <col min="8" max="8" width="14" customWidth="1"/>
    <col min="9" max="9" width="31" customWidth="1"/>
    <col min="10" max="10" width="16" customWidth="1"/>
    <col min="11" max="11" width="25.140625" customWidth="1"/>
    <col min="12" max="12" width="84.85546875" customWidth="1"/>
  </cols>
  <sheetData>
    <row r="1" spans="1:12" ht="27.95" customHeight="1">
      <c r="A1" s="1" t="s">
        <v>243</v>
      </c>
      <c r="B1" s="1" t="s">
        <v>9</v>
      </c>
      <c r="C1" s="1" t="s">
        <v>11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252</v>
      </c>
    </row>
    <row r="2" spans="1:12" ht="27.95" customHeight="1">
      <c r="A2" s="4" t="s">
        <v>31</v>
      </c>
      <c r="B2" s="4" t="s">
        <v>2</v>
      </c>
      <c r="C2" s="4" t="s">
        <v>32</v>
      </c>
      <c r="D2" s="4" t="s">
        <v>36</v>
      </c>
      <c r="E2" s="4" t="s">
        <v>359</v>
      </c>
      <c r="F2" s="4" t="s">
        <v>360</v>
      </c>
      <c r="G2" s="4" t="s">
        <v>361</v>
      </c>
      <c r="H2" s="4" t="s">
        <v>267</v>
      </c>
      <c r="I2" s="4" t="s">
        <v>268</v>
      </c>
      <c r="J2" s="4" t="s">
        <v>362</v>
      </c>
      <c r="K2" s="4" t="s">
        <v>363</v>
      </c>
      <c r="L2" s="4" t="s">
        <v>41</v>
      </c>
    </row>
    <row r="3" spans="1:12" ht="27.95" customHeight="1">
      <c r="A3" s="4" t="s">
        <v>42</v>
      </c>
      <c r="B3" s="4" t="s">
        <v>2</v>
      </c>
      <c r="C3" s="4" t="s">
        <v>43</v>
      </c>
      <c r="D3" s="4" t="s">
        <v>45</v>
      </c>
      <c r="E3" s="4" t="s">
        <v>364</v>
      </c>
      <c r="F3" s="4" t="s">
        <v>365</v>
      </c>
      <c r="G3" s="4" t="s">
        <v>366</v>
      </c>
      <c r="H3" s="4" t="s">
        <v>267</v>
      </c>
      <c r="I3" s="4" t="s">
        <v>271</v>
      </c>
      <c r="J3" s="4" t="s">
        <v>362</v>
      </c>
      <c r="K3" s="4" t="s">
        <v>363</v>
      </c>
      <c r="L3" s="4" t="s">
        <v>46</v>
      </c>
    </row>
    <row r="4" spans="1:12" ht="27.95" customHeight="1">
      <c r="A4" s="4" t="s">
        <v>47</v>
      </c>
      <c r="B4" s="4" t="s">
        <v>2</v>
      </c>
      <c r="C4" s="4" t="s">
        <v>48</v>
      </c>
      <c r="D4" s="4" t="s">
        <v>51</v>
      </c>
      <c r="E4" s="4" t="s">
        <v>367</v>
      </c>
      <c r="F4" s="4" t="s">
        <v>360</v>
      </c>
      <c r="G4" s="4" t="s">
        <v>368</v>
      </c>
      <c r="H4" s="4" t="s">
        <v>267</v>
      </c>
      <c r="I4" s="4" t="s">
        <v>273</v>
      </c>
      <c r="J4" s="4" t="s">
        <v>362</v>
      </c>
      <c r="K4" s="4" t="s">
        <v>363</v>
      </c>
      <c r="L4" s="4" t="s">
        <v>52</v>
      </c>
    </row>
    <row r="5" spans="1:12" ht="27.95" customHeight="1">
      <c r="A5" s="4" t="s">
        <v>53</v>
      </c>
      <c r="B5" s="4" t="s">
        <v>2</v>
      </c>
      <c r="C5" s="4" t="s">
        <v>54</v>
      </c>
      <c r="D5" s="4" t="s">
        <v>57</v>
      </c>
      <c r="E5" s="4" t="s">
        <v>369</v>
      </c>
      <c r="F5" s="4" t="s">
        <v>370</v>
      </c>
      <c r="G5" s="4" t="s">
        <v>371</v>
      </c>
      <c r="H5" s="4" t="s">
        <v>267</v>
      </c>
      <c r="I5" s="4" t="s">
        <v>275</v>
      </c>
      <c r="J5" s="4" t="s">
        <v>362</v>
      </c>
      <c r="K5" s="4" t="s">
        <v>363</v>
      </c>
      <c r="L5" s="4" t="s">
        <v>58</v>
      </c>
    </row>
    <row r="6" spans="1:12" ht="27.95" customHeight="1">
      <c r="A6" s="4" t="s">
        <v>59</v>
      </c>
      <c r="B6" s="4" t="s">
        <v>2</v>
      </c>
      <c r="C6" s="4" t="s">
        <v>60</v>
      </c>
      <c r="D6" s="4" t="s">
        <v>62</v>
      </c>
      <c r="E6" s="4" t="s">
        <v>372</v>
      </c>
      <c r="F6" s="4" t="s">
        <v>360</v>
      </c>
      <c r="G6" s="4" t="s">
        <v>373</v>
      </c>
      <c r="H6" s="4" t="s">
        <v>267</v>
      </c>
      <c r="I6" s="4" t="s">
        <v>277</v>
      </c>
      <c r="J6" s="4" t="s">
        <v>362</v>
      </c>
      <c r="K6" s="4" t="s">
        <v>363</v>
      </c>
      <c r="L6" s="4" t="s">
        <v>63</v>
      </c>
    </row>
    <row r="7" spans="1:12" ht="27.95" customHeight="1">
      <c r="A7" s="4" t="s">
        <v>64</v>
      </c>
      <c r="B7" s="4" t="s">
        <v>2</v>
      </c>
      <c r="C7" s="4" t="s">
        <v>65</v>
      </c>
      <c r="D7" s="4" t="s">
        <v>68</v>
      </c>
      <c r="E7" s="4" t="s">
        <v>374</v>
      </c>
      <c r="F7" s="4" t="s">
        <v>360</v>
      </c>
      <c r="G7" s="4" t="s">
        <v>375</v>
      </c>
      <c r="H7" s="4" t="s">
        <v>267</v>
      </c>
      <c r="I7" s="4" t="s">
        <v>279</v>
      </c>
      <c r="J7" s="4" t="s">
        <v>362</v>
      </c>
      <c r="K7" s="4" t="s">
        <v>363</v>
      </c>
      <c r="L7" s="4" t="s">
        <v>69</v>
      </c>
    </row>
    <row r="8" spans="1:12" ht="27.95" customHeight="1">
      <c r="A8" s="5" t="s">
        <v>70</v>
      </c>
      <c r="B8" s="4" t="s">
        <v>2</v>
      </c>
      <c r="C8" s="4" t="s">
        <v>71</v>
      </c>
      <c r="D8" s="4" t="s">
        <v>57</v>
      </c>
      <c r="E8" s="4" t="s">
        <v>369</v>
      </c>
      <c r="F8" s="4" t="s">
        <v>370</v>
      </c>
      <c r="G8" s="4" t="s">
        <v>376</v>
      </c>
      <c r="H8" s="4" t="s">
        <v>267</v>
      </c>
      <c r="I8" s="4" t="s">
        <v>281</v>
      </c>
      <c r="J8" s="4" t="s">
        <v>362</v>
      </c>
      <c r="K8" s="4" t="s">
        <v>363</v>
      </c>
      <c r="L8" s="4" t="s">
        <v>73</v>
      </c>
    </row>
    <row r="9" spans="1:12" ht="27.95" customHeight="1">
      <c r="A9" s="4" t="s">
        <v>74</v>
      </c>
      <c r="B9" s="4" t="s">
        <v>2</v>
      </c>
      <c r="C9" s="4" t="s">
        <v>75</v>
      </c>
      <c r="D9" s="4" t="s">
        <v>78</v>
      </c>
      <c r="E9" s="4" t="s">
        <v>377</v>
      </c>
      <c r="F9" s="4" t="s">
        <v>360</v>
      </c>
      <c r="G9" s="4" t="s">
        <v>378</v>
      </c>
      <c r="H9" s="4" t="s">
        <v>267</v>
      </c>
      <c r="I9" s="4" t="s">
        <v>283</v>
      </c>
      <c r="J9" s="4" t="s">
        <v>362</v>
      </c>
      <c r="K9" s="4" t="s">
        <v>363</v>
      </c>
      <c r="L9" s="4" t="s">
        <v>79</v>
      </c>
    </row>
    <row r="10" spans="1:12" ht="27.95" customHeight="1">
      <c r="A10" s="4" t="s">
        <v>80</v>
      </c>
      <c r="B10" s="4" t="s">
        <v>2</v>
      </c>
      <c r="C10" s="4" t="s">
        <v>81</v>
      </c>
      <c r="D10" s="4" t="s">
        <v>45</v>
      </c>
      <c r="E10" s="4" t="s">
        <v>364</v>
      </c>
      <c r="F10" s="4" t="s">
        <v>365</v>
      </c>
      <c r="G10" s="4" t="s">
        <v>379</v>
      </c>
      <c r="H10" s="4" t="s">
        <v>267</v>
      </c>
      <c r="I10" s="4" t="s">
        <v>285</v>
      </c>
      <c r="J10" s="4" t="s">
        <v>362</v>
      </c>
      <c r="K10" s="4" t="s">
        <v>363</v>
      </c>
      <c r="L10" s="4" t="s">
        <v>83</v>
      </c>
    </row>
    <row r="11" spans="1:12" ht="27.95" customHeight="1">
      <c r="A11" s="4" t="s">
        <v>84</v>
      </c>
      <c r="B11" s="4" t="s">
        <v>2</v>
      </c>
      <c r="C11" s="4" t="s">
        <v>85</v>
      </c>
      <c r="D11" s="4" t="s">
        <v>87</v>
      </c>
      <c r="E11" s="4" t="s">
        <v>380</v>
      </c>
      <c r="F11" s="4" t="s">
        <v>360</v>
      </c>
      <c r="G11" s="4" t="s">
        <v>381</v>
      </c>
      <c r="H11" s="4" t="s">
        <v>267</v>
      </c>
      <c r="I11" s="4" t="s">
        <v>287</v>
      </c>
      <c r="J11" s="4" t="s">
        <v>362</v>
      </c>
      <c r="K11" s="4" t="s">
        <v>363</v>
      </c>
      <c r="L11" s="4" t="s">
        <v>88</v>
      </c>
    </row>
    <row r="12" spans="1:12" ht="27.95" customHeight="1">
      <c r="A12" s="4" t="s">
        <v>89</v>
      </c>
      <c r="B12" s="4" t="s">
        <v>2</v>
      </c>
      <c r="C12" s="4" t="s">
        <v>90</v>
      </c>
      <c r="D12" s="4" t="s">
        <v>62</v>
      </c>
      <c r="E12" s="4" t="s">
        <v>372</v>
      </c>
      <c r="F12" s="4" t="s">
        <v>360</v>
      </c>
      <c r="G12" s="4" t="s">
        <v>382</v>
      </c>
      <c r="H12" s="4" t="s">
        <v>267</v>
      </c>
      <c r="I12" s="4" t="s">
        <v>289</v>
      </c>
      <c r="J12" s="4" t="s">
        <v>362</v>
      </c>
      <c r="K12" s="4" t="s">
        <v>363</v>
      </c>
      <c r="L12" s="4" t="s">
        <v>291</v>
      </c>
    </row>
    <row r="13" spans="1:12" ht="27.95" customHeight="1">
      <c r="A13" s="4" t="s">
        <v>95</v>
      </c>
      <c r="B13" s="4" t="s">
        <v>2</v>
      </c>
      <c r="C13" s="4" t="s">
        <v>96</v>
      </c>
      <c r="D13" s="4" t="s">
        <v>57</v>
      </c>
      <c r="E13" s="4" t="s">
        <v>369</v>
      </c>
      <c r="F13" s="4" t="s">
        <v>370</v>
      </c>
      <c r="G13" s="4" t="s">
        <v>383</v>
      </c>
      <c r="H13" s="4" t="s">
        <v>267</v>
      </c>
      <c r="I13" s="4" t="s">
        <v>292</v>
      </c>
      <c r="J13" s="4" t="s">
        <v>362</v>
      </c>
      <c r="K13" s="4" t="s">
        <v>363</v>
      </c>
      <c r="L13" s="4" t="s">
        <v>99</v>
      </c>
    </row>
    <row r="14" spans="1:12" ht="27.95" customHeight="1">
      <c r="A14" s="4" t="s">
        <v>100</v>
      </c>
      <c r="B14" s="4" t="s">
        <v>3</v>
      </c>
      <c r="C14" s="4" t="s">
        <v>101</v>
      </c>
      <c r="D14" s="4" t="s">
        <v>36</v>
      </c>
      <c r="E14" s="4" t="s">
        <v>359</v>
      </c>
      <c r="F14" s="4" t="s">
        <v>360</v>
      </c>
      <c r="G14" s="4" t="s">
        <v>384</v>
      </c>
      <c r="H14" s="4" t="s">
        <v>267</v>
      </c>
      <c r="I14" s="4" t="s">
        <v>295</v>
      </c>
      <c r="J14" s="4" t="s">
        <v>362</v>
      </c>
      <c r="K14" s="4" t="s">
        <v>363</v>
      </c>
      <c r="L14" s="4" t="s">
        <v>104</v>
      </c>
    </row>
    <row r="15" spans="1:12" ht="27.95" customHeight="1">
      <c r="A15" s="4" t="s">
        <v>105</v>
      </c>
      <c r="B15" s="4" t="s">
        <v>3</v>
      </c>
      <c r="C15" s="4" t="s">
        <v>106</v>
      </c>
      <c r="D15" s="4" t="s">
        <v>109</v>
      </c>
      <c r="E15" s="4" t="s">
        <v>385</v>
      </c>
      <c r="F15" s="4" t="s">
        <v>386</v>
      </c>
      <c r="G15" s="4" t="s">
        <v>387</v>
      </c>
      <c r="H15" s="4" t="s">
        <v>267</v>
      </c>
      <c r="I15" s="4" t="s">
        <v>297</v>
      </c>
      <c r="J15" s="4" t="s">
        <v>362</v>
      </c>
      <c r="K15" s="4" t="s">
        <v>363</v>
      </c>
      <c r="L15" s="4" t="s">
        <v>104</v>
      </c>
    </row>
    <row r="16" spans="1:12" ht="27.95" customHeight="1">
      <c r="A16" s="4" t="s">
        <v>110</v>
      </c>
      <c r="B16" s="4" t="s">
        <v>3</v>
      </c>
      <c r="C16" s="4" t="s">
        <v>111</v>
      </c>
      <c r="D16" s="4" t="s">
        <v>62</v>
      </c>
      <c r="E16" s="4" t="s">
        <v>372</v>
      </c>
      <c r="F16" s="4" t="s">
        <v>360</v>
      </c>
      <c r="G16" s="4" t="s">
        <v>388</v>
      </c>
      <c r="H16" s="4" t="s">
        <v>267</v>
      </c>
      <c r="I16" s="4" t="s">
        <v>299</v>
      </c>
      <c r="J16" s="4" t="s">
        <v>362</v>
      </c>
      <c r="K16" s="4" t="s">
        <v>363</v>
      </c>
      <c r="L16" s="4" t="s">
        <v>113</v>
      </c>
    </row>
    <row r="17" spans="1:12" ht="27.95" customHeight="1">
      <c r="A17" s="4" t="s">
        <v>114</v>
      </c>
      <c r="B17" s="4" t="s">
        <v>3</v>
      </c>
      <c r="C17" s="4" t="s">
        <v>115</v>
      </c>
      <c r="D17" s="4" t="s">
        <v>117</v>
      </c>
      <c r="E17" s="4" t="s">
        <v>389</v>
      </c>
      <c r="F17" s="4" t="s">
        <v>365</v>
      </c>
      <c r="G17" s="4" t="s">
        <v>390</v>
      </c>
      <c r="H17" s="4" t="s">
        <v>267</v>
      </c>
      <c r="I17" s="4" t="s">
        <v>301</v>
      </c>
      <c r="J17" s="4" t="s">
        <v>362</v>
      </c>
      <c r="K17" s="4" t="s">
        <v>363</v>
      </c>
      <c r="L17" s="4" t="s">
        <v>118</v>
      </c>
    </row>
    <row r="18" spans="1:12" ht="27.95" customHeight="1">
      <c r="A18" s="4" t="s">
        <v>119</v>
      </c>
      <c r="B18" s="4" t="s">
        <v>3</v>
      </c>
      <c r="C18" s="4" t="s">
        <v>120</v>
      </c>
      <c r="D18" s="4" t="s">
        <v>123</v>
      </c>
      <c r="E18" s="4" t="s">
        <v>391</v>
      </c>
      <c r="F18" s="4" t="s">
        <v>360</v>
      </c>
      <c r="G18" s="4" t="s">
        <v>392</v>
      </c>
      <c r="H18" s="4" t="s">
        <v>267</v>
      </c>
      <c r="I18" s="4" t="s">
        <v>303</v>
      </c>
      <c r="J18" s="4" t="s">
        <v>362</v>
      </c>
      <c r="K18" s="4" t="s">
        <v>363</v>
      </c>
      <c r="L18" s="4" t="s">
        <v>125</v>
      </c>
    </row>
    <row r="19" spans="1:12" ht="27.95" customHeight="1">
      <c r="A19" s="4" t="s">
        <v>126</v>
      </c>
      <c r="B19" s="4" t="s">
        <v>3</v>
      </c>
      <c r="C19" s="4" t="s">
        <v>127</v>
      </c>
      <c r="D19" s="4" t="s">
        <v>129</v>
      </c>
      <c r="E19" s="4" t="s">
        <v>393</v>
      </c>
      <c r="F19" s="4" t="s">
        <v>386</v>
      </c>
      <c r="G19" s="4" t="s">
        <v>394</v>
      </c>
      <c r="H19" s="4" t="s">
        <v>267</v>
      </c>
      <c r="I19" s="4" t="s">
        <v>305</v>
      </c>
      <c r="J19" s="4" t="s">
        <v>362</v>
      </c>
      <c r="K19" s="4" t="s">
        <v>363</v>
      </c>
      <c r="L19" s="4" t="s">
        <v>130</v>
      </c>
    </row>
    <row r="20" spans="1:12" ht="27.95" customHeight="1">
      <c r="A20" s="4" t="s">
        <v>131</v>
      </c>
      <c r="B20" s="4" t="s">
        <v>3</v>
      </c>
      <c r="C20" s="4" t="s">
        <v>132</v>
      </c>
      <c r="D20" s="4" t="s">
        <v>68</v>
      </c>
      <c r="E20" s="4" t="s">
        <v>374</v>
      </c>
      <c r="F20" s="4" t="s">
        <v>360</v>
      </c>
      <c r="G20" s="4" t="s">
        <v>395</v>
      </c>
      <c r="H20" s="4" t="s">
        <v>267</v>
      </c>
      <c r="I20" s="4" t="s">
        <v>307</v>
      </c>
      <c r="J20" s="4" t="s">
        <v>362</v>
      </c>
      <c r="K20" s="4" t="s">
        <v>363</v>
      </c>
      <c r="L20" s="4" t="s">
        <v>134</v>
      </c>
    </row>
    <row r="21" spans="1:12" ht="27.95" customHeight="1">
      <c r="A21" s="4" t="s">
        <v>135</v>
      </c>
      <c r="B21" s="4" t="s">
        <v>3</v>
      </c>
      <c r="C21" s="4" t="s">
        <v>136</v>
      </c>
      <c r="D21" s="4" t="s">
        <v>78</v>
      </c>
      <c r="E21" s="4" t="s">
        <v>377</v>
      </c>
      <c r="F21" s="4" t="s">
        <v>396</v>
      </c>
      <c r="G21" s="4" t="s">
        <v>397</v>
      </c>
      <c r="H21" s="4" t="s">
        <v>267</v>
      </c>
      <c r="I21" s="4" t="s">
        <v>309</v>
      </c>
      <c r="J21" s="4" t="s">
        <v>362</v>
      </c>
      <c r="K21" s="4" t="s">
        <v>363</v>
      </c>
      <c r="L21" s="4" t="s">
        <v>138</v>
      </c>
    </row>
    <row r="22" spans="1:12" ht="27.95" customHeight="1">
      <c r="A22" s="4" t="s">
        <v>139</v>
      </c>
      <c r="B22" s="4" t="s">
        <v>3</v>
      </c>
      <c r="C22" s="4" t="s">
        <v>140</v>
      </c>
      <c r="D22" s="4" t="s">
        <v>142</v>
      </c>
      <c r="E22" s="4" t="s">
        <v>398</v>
      </c>
      <c r="F22" s="4" t="s">
        <v>365</v>
      </c>
      <c r="G22" s="4" t="s">
        <v>399</v>
      </c>
      <c r="H22" s="4" t="s">
        <v>267</v>
      </c>
      <c r="I22" s="4" t="s">
        <v>311</v>
      </c>
      <c r="J22" s="4" t="s">
        <v>362</v>
      </c>
      <c r="K22" s="4" t="s">
        <v>363</v>
      </c>
      <c r="L22" s="4" t="s">
        <v>143</v>
      </c>
    </row>
    <row r="23" spans="1:12" ht="27.95" customHeight="1">
      <c r="A23" s="4" t="s">
        <v>144</v>
      </c>
      <c r="B23" s="4" t="s">
        <v>3</v>
      </c>
      <c r="C23" s="4" t="s">
        <v>145</v>
      </c>
      <c r="D23" s="4" t="s">
        <v>147</v>
      </c>
      <c r="E23" s="4" t="s">
        <v>374</v>
      </c>
      <c r="F23" s="4" t="s">
        <v>360</v>
      </c>
      <c r="G23" s="4" t="s">
        <v>400</v>
      </c>
      <c r="H23" s="4" t="s">
        <v>267</v>
      </c>
      <c r="I23" s="4" t="s">
        <v>313</v>
      </c>
      <c r="J23" s="4" t="s">
        <v>362</v>
      </c>
      <c r="K23" s="4" t="s">
        <v>363</v>
      </c>
      <c r="L23" s="4" t="s">
        <v>148</v>
      </c>
    </row>
    <row r="24" spans="1:12" ht="27.95" customHeight="1">
      <c r="A24" s="4" t="s">
        <v>149</v>
      </c>
      <c r="B24" s="4" t="s">
        <v>4</v>
      </c>
      <c r="C24" s="4" t="s">
        <v>150</v>
      </c>
      <c r="D24" s="4" t="s">
        <v>152</v>
      </c>
      <c r="E24" s="4" t="s">
        <v>401</v>
      </c>
      <c r="F24" s="4" t="s">
        <v>360</v>
      </c>
      <c r="G24" s="4" t="s">
        <v>402</v>
      </c>
      <c r="H24" s="4" t="s">
        <v>267</v>
      </c>
      <c r="I24" s="4" t="s">
        <v>315</v>
      </c>
      <c r="J24" s="4" t="s">
        <v>362</v>
      </c>
      <c r="K24" s="4" t="s">
        <v>363</v>
      </c>
      <c r="L24" s="4" t="s">
        <v>153</v>
      </c>
    </row>
    <row r="25" spans="1:12" ht="27.95" customHeight="1">
      <c r="A25" s="4" t="s">
        <v>154</v>
      </c>
      <c r="B25" s="4" t="s">
        <v>4</v>
      </c>
      <c r="C25" s="4" t="s">
        <v>155</v>
      </c>
      <c r="D25" s="4" t="s">
        <v>157</v>
      </c>
      <c r="E25" s="4" t="s">
        <v>403</v>
      </c>
      <c r="F25" s="4" t="s">
        <v>360</v>
      </c>
      <c r="G25" s="4" t="s">
        <v>404</v>
      </c>
      <c r="H25" s="4" t="s">
        <v>267</v>
      </c>
      <c r="I25" s="4" t="s">
        <v>317</v>
      </c>
      <c r="J25" s="4" t="s">
        <v>362</v>
      </c>
      <c r="K25" s="4" t="s">
        <v>363</v>
      </c>
      <c r="L25" s="4" t="s">
        <v>158</v>
      </c>
    </row>
    <row r="26" spans="1:12" ht="27.95" customHeight="1">
      <c r="A26" s="4" t="s">
        <v>159</v>
      </c>
      <c r="B26" s="4" t="s">
        <v>4</v>
      </c>
      <c r="C26" s="4" t="s">
        <v>160</v>
      </c>
      <c r="D26" s="4" t="s">
        <v>162</v>
      </c>
      <c r="E26" s="4" t="s">
        <v>405</v>
      </c>
      <c r="F26" s="4" t="s">
        <v>386</v>
      </c>
      <c r="G26" s="4" t="s">
        <v>406</v>
      </c>
      <c r="H26" s="4" t="s">
        <v>267</v>
      </c>
      <c r="I26" s="4" t="s">
        <v>319</v>
      </c>
      <c r="J26" s="4" t="s">
        <v>362</v>
      </c>
      <c r="K26" s="4" t="s">
        <v>363</v>
      </c>
      <c r="L26" s="4" t="s">
        <v>164</v>
      </c>
    </row>
    <row r="27" spans="1:12" ht="27.95" customHeight="1">
      <c r="A27" s="4" t="s">
        <v>165</v>
      </c>
      <c r="B27" s="4" t="s">
        <v>4</v>
      </c>
      <c r="C27" s="4" t="s">
        <v>166</v>
      </c>
      <c r="D27" s="4" t="s">
        <v>147</v>
      </c>
      <c r="E27" s="4" t="s">
        <v>374</v>
      </c>
      <c r="F27" s="4" t="s">
        <v>360</v>
      </c>
      <c r="G27" s="4" t="s">
        <v>407</v>
      </c>
      <c r="H27" s="4" t="s">
        <v>267</v>
      </c>
      <c r="I27" s="4" t="s">
        <v>321</v>
      </c>
      <c r="J27" s="4" t="s">
        <v>362</v>
      </c>
      <c r="K27" s="4" t="s">
        <v>363</v>
      </c>
      <c r="L27" s="4" t="s">
        <v>168</v>
      </c>
    </row>
    <row r="28" spans="1:12" ht="27.95" customHeight="1">
      <c r="A28" s="4" t="s">
        <v>169</v>
      </c>
      <c r="B28" s="4" t="s">
        <v>4</v>
      </c>
      <c r="C28" s="4" t="s">
        <v>170</v>
      </c>
      <c r="D28" s="4" t="s">
        <v>172</v>
      </c>
      <c r="E28" s="4" t="s">
        <v>408</v>
      </c>
      <c r="F28" s="4" t="s">
        <v>360</v>
      </c>
      <c r="G28" s="4" t="s">
        <v>409</v>
      </c>
      <c r="H28" s="4" t="s">
        <v>267</v>
      </c>
      <c r="I28" s="4" t="s">
        <v>323</v>
      </c>
      <c r="J28" s="4" t="s">
        <v>362</v>
      </c>
      <c r="K28" s="4" t="s">
        <v>363</v>
      </c>
      <c r="L28" s="4" t="s">
        <v>174</v>
      </c>
    </row>
    <row r="29" spans="1:12" ht="27.95" customHeight="1">
      <c r="A29" s="4" t="s">
        <v>175</v>
      </c>
      <c r="B29" s="4" t="s">
        <v>4</v>
      </c>
      <c r="C29" s="4" t="s">
        <v>176</v>
      </c>
      <c r="D29" s="4" t="s">
        <v>142</v>
      </c>
      <c r="E29" s="4" t="s">
        <v>398</v>
      </c>
      <c r="F29" s="4" t="s">
        <v>365</v>
      </c>
      <c r="G29" s="4" t="s">
        <v>410</v>
      </c>
      <c r="H29" s="4" t="s">
        <v>267</v>
      </c>
      <c r="I29" s="4" t="s">
        <v>325</v>
      </c>
      <c r="J29" s="4" t="s">
        <v>362</v>
      </c>
      <c r="K29" s="4" t="s">
        <v>363</v>
      </c>
      <c r="L29" s="4" t="s">
        <v>179</v>
      </c>
    </row>
    <row r="30" spans="1:12" ht="27.95" customHeight="1">
      <c r="A30" s="4" t="s">
        <v>180</v>
      </c>
      <c r="B30" s="4" t="s">
        <v>4</v>
      </c>
      <c r="C30" s="4" t="s">
        <v>181</v>
      </c>
      <c r="D30" s="4" t="s">
        <v>183</v>
      </c>
      <c r="E30" s="4" t="s">
        <v>411</v>
      </c>
      <c r="F30" s="4" t="s">
        <v>396</v>
      </c>
      <c r="G30" s="4" t="s">
        <v>412</v>
      </c>
      <c r="H30" s="4" t="s">
        <v>267</v>
      </c>
      <c r="I30" s="4" t="s">
        <v>327</v>
      </c>
      <c r="J30" s="4" t="s">
        <v>362</v>
      </c>
      <c r="K30" s="4" t="s">
        <v>363</v>
      </c>
      <c r="L30" s="4" t="s">
        <v>185</v>
      </c>
    </row>
    <row r="31" spans="1:12" ht="27.95" customHeight="1">
      <c r="A31" s="4" t="s">
        <v>186</v>
      </c>
      <c r="B31" s="4" t="s">
        <v>4</v>
      </c>
      <c r="C31" s="4" t="s">
        <v>187</v>
      </c>
      <c r="D31" s="4" t="s">
        <v>189</v>
      </c>
      <c r="E31" s="4" t="s">
        <v>413</v>
      </c>
      <c r="F31" s="4" t="s">
        <v>370</v>
      </c>
      <c r="G31" s="4" t="s">
        <v>414</v>
      </c>
      <c r="H31" s="4" t="s">
        <v>267</v>
      </c>
      <c r="I31" s="4" t="s">
        <v>329</v>
      </c>
      <c r="J31" s="4" t="s">
        <v>362</v>
      </c>
      <c r="K31" s="4" t="s">
        <v>363</v>
      </c>
      <c r="L31" s="4" t="s">
        <v>174</v>
      </c>
    </row>
    <row r="32" spans="1:12" ht="27.95" customHeight="1">
      <c r="A32" s="4" t="s">
        <v>191</v>
      </c>
      <c r="B32" s="4" t="s">
        <v>5</v>
      </c>
      <c r="C32" s="4" t="s">
        <v>192</v>
      </c>
      <c r="D32" s="4" t="s">
        <v>194</v>
      </c>
      <c r="E32" s="4" t="s">
        <v>398</v>
      </c>
      <c r="F32" s="4" t="s">
        <v>370</v>
      </c>
      <c r="G32" s="4" t="s">
        <v>415</v>
      </c>
      <c r="H32" s="4" t="s">
        <v>267</v>
      </c>
      <c r="I32" s="4" t="s">
        <v>331</v>
      </c>
      <c r="J32" s="4" t="s">
        <v>362</v>
      </c>
      <c r="K32" s="4" t="s">
        <v>363</v>
      </c>
      <c r="L32" s="4" t="s">
        <v>195</v>
      </c>
    </row>
    <row r="33" spans="1:12" ht="27.95" customHeight="1">
      <c r="A33" s="4" t="s">
        <v>196</v>
      </c>
      <c r="B33" s="4" t="s">
        <v>5</v>
      </c>
      <c r="C33" s="4" t="s">
        <v>197</v>
      </c>
      <c r="D33" s="4" t="s">
        <v>199</v>
      </c>
      <c r="E33" s="4" t="s">
        <v>416</v>
      </c>
      <c r="F33" s="4" t="s">
        <v>365</v>
      </c>
      <c r="G33" s="4" t="s">
        <v>417</v>
      </c>
      <c r="H33" s="4" t="s">
        <v>267</v>
      </c>
      <c r="I33" s="4" t="s">
        <v>333</v>
      </c>
      <c r="J33" s="4" t="s">
        <v>362</v>
      </c>
      <c r="K33" s="4" t="s">
        <v>363</v>
      </c>
      <c r="L33" s="4" t="s">
        <v>200</v>
      </c>
    </row>
    <row r="34" spans="1:12" ht="27.95" customHeight="1">
      <c r="A34" s="4" t="s">
        <v>201</v>
      </c>
      <c r="B34" s="4" t="s">
        <v>5</v>
      </c>
      <c r="C34" s="4" t="s">
        <v>202</v>
      </c>
      <c r="D34" s="4" t="s">
        <v>204</v>
      </c>
      <c r="E34" s="4" t="s">
        <v>418</v>
      </c>
      <c r="F34" s="4" t="s">
        <v>365</v>
      </c>
      <c r="G34" s="4" t="s">
        <v>419</v>
      </c>
      <c r="H34" s="4" t="s">
        <v>267</v>
      </c>
      <c r="I34" s="4" t="s">
        <v>335</v>
      </c>
      <c r="J34" s="4" t="s">
        <v>362</v>
      </c>
      <c r="K34" s="4" t="s">
        <v>363</v>
      </c>
      <c r="L34" s="4" t="s">
        <v>205</v>
      </c>
    </row>
    <row r="35" spans="1:12" ht="27.95" customHeight="1">
      <c r="A35" s="4" t="s">
        <v>206</v>
      </c>
      <c r="B35" s="4" t="s">
        <v>5</v>
      </c>
      <c r="C35" s="4" t="s">
        <v>207</v>
      </c>
      <c r="D35" s="4" t="s">
        <v>209</v>
      </c>
      <c r="E35" s="4" t="s">
        <v>420</v>
      </c>
      <c r="F35" s="4" t="s">
        <v>370</v>
      </c>
      <c r="G35" s="4" t="s">
        <v>421</v>
      </c>
      <c r="H35" s="4" t="s">
        <v>267</v>
      </c>
      <c r="I35" s="4" t="s">
        <v>337</v>
      </c>
      <c r="J35" s="4" t="s">
        <v>362</v>
      </c>
      <c r="K35" s="4" t="s">
        <v>363</v>
      </c>
      <c r="L35" s="4" t="s">
        <v>210</v>
      </c>
    </row>
    <row r="36" spans="1:12" ht="27.95" customHeight="1">
      <c r="A36" s="4" t="s">
        <v>211</v>
      </c>
      <c r="B36" s="4" t="s">
        <v>5</v>
      </c>
      <c r="C36" s="4" t="s">
        <v>212</v>
      </c>
      <c r="D36" s="4" t="s">
        <v>214</v>
      </c>
      <c r="E36" s="4" t="s">
        <v>420</v>
      </c>
      <c r="F36" s="4" t="s">
        <v>370</v>
      </c>
      <c r="G36" s="4" t="s">
        <v>422</v>
      </c>
      <c r="H36" s="4" t="s">
        <v>267</v>
      </c>
      <c r="I36" s="4" t="s">
        <v>339</v>
      </c>
      <c r="J36" s="4" t="s">
        <v>362</v>
      </c>
      <c r="K36" s="4" t="s">
        <v>363</v>
      </c>
      <c r="L36" s="4" t="s">
        <v>215</v>
      </c>
    </row>
    <row r="37" spans="1:12" ht="27.95" customHeight="1">
      <c r="A37" s="4" t="s">
        <v>216</v>
      </c>
      <c r="B37" s="4" t="s">
        <v>5</v>
      </c>
      <c r="C37" s="4" t="s">
        <v>217</v>
      </c>
      <c r="D37" s="4" t="s">
        <v>220</v>
      </c>
      <c r="E37" s="4" t="s">
        <v>423</v>
      </c>
      <c r="F37" s="4" t="s">
        <v>365</v>
      </c>
      <c r="G37" s="4" t="s">
        <v>424</v>
      </c>
      <c r="H37" s="4" t="s">
        <v>267</v>
      </c>
      <c r="I37" s="4" t="s">
        <v>341</v>
      </c>
      <c r="J37" s="4" t="s">
        <v>362</v>
      </c>
      <c r="K37" s="4" t="s">
        <v>363</v>
      </c>
      <c r="L37" s="4" t="s">
        <v>221</v>
      </c>
    </row>
    <row r="38" spans="1:12" ht="27.95" customHeight="1">
      <c r="A38" s="4" t="s">
        <v>222</v>
      </c>
      <c r="B38" s="4" t="s">
        <v>5</v>
      </c>
      <c r="C38" s="4" t="s">
        <v>223</v>
      </c>
      <c r="D38" s="4" t="s">
        <v>45</v>
      </c>
      <c r="E38" s="4" t="s">
        <v>364</v>
      </c>
      <c r="F38" s="4" t="s">
        <v>365</v>
      </c>
      <c r="G38" s="4" t="s">
        <v>425</v>
      </c>
      <c r="H38" s="4" t="s">
        <v>267</v>
      </c>
      <c r="I38" s="4" t="s">
        <v>343</v>
      </c>
      <c r="J38" s="4" t="s">
        <v>362</v>
      </c>
      <c r="K38" s="4" t="s">
        <v>363</v>
      </c>
      <c r="L38" s="4" t="s">
        <v>227</v>
      </c>
    </row>
    <row r="39" spans="1:12" ht="27.95" customHeight="1">
      <c r="A39" s="4" t="s">
        <v>228</v>
      </c>
      <c r="B39" s="4" t="s">
        <v>5</v>
      </c>
      <c r="C39" s="4" t="s">
        <v>229</v>
      </c>
      <c r="D39" s="4" t="s">
        <v>57</v>
      </c>
      <c r="E39" s="4" t="s">
        <v>369</v>
      </c>
      <c r="F39" s="4" t="s">
        <v>370</v>
      </c>
      <c r="G39" s="4" t="s">
        <v>426</v>
      </c>
      <c r="H39" s="4" t="s">
        <v>267</v>
      </c>
      <c r="I39" s="4" t="s">
        <v>345</v>
      </c>
      <c r="J39" s="4" t="s">
        <v>362</v>
      </c>
      <c r="K39" s="4" t="s">
        <v>363</v>
      </c>
      <c r="L39" s="4" t="s">
        <v>231</v>
      </c>
    </row>
    <row r="40" spans="1:12" ht="27.95" customHeight="1">
      <c r="A40" s="4" t="s">
        <v>232</v>
      </c>
      <c r="B40" s="4" t="s">
        <v>5</v>
      </c>
      <c r="C40" s="4" t="s">
        <v>233</v>
      </c>
      <c r="D40" s="4" t="s">
        <v>235</v>
      </c>
      <c r="E40" s="4" t="s">
        <v>367</v>
      </c>
      <c r="F40" s="4" t="s">
        <v>360</v>
      </c>
      <c r="G40" s="4" t="s">
        <v>427</v>
      </c>
      <c r="H40" s="4" t="s">
        <v>267</v>
      </c>
      <c r="I40" s="4" t="s">
        <v>347</v>
      </c>
      <c r="J40" s="4" t="s">
        <v>362</v>
      </c>
      <c r="K40" s="4" t="s">
        <v>363</v>
      </c>
      <c r="L40" s="4" t="s">
        <v>237</v>
      </c>
    </row>
    <row r="41" spans="1:12" ht="27.95" customHeight="1">
      <c r="A41" s="4" t="s">
        <v>238</v>
      </c>
      <c r="B41" s="4" t="s">
        <v>5</v>
      </c>
      <c r="C41" s="4" t="s">
        <v>239</v>
      </c>
      <c r="D41" s="4" t="s">
        <v>241</v>
      </c>
      <c r="E41" s="4" t="s">
        <v>428</v>
      </c>
      <c r="F41" s="4" t="s">
        <v>370</v>
      </c>
      <c r="G41" s="4" t="s">
        <v>429</v>
      </c>
      <c r="H41" s="4" t="s">
        <v>267</v>
      </c>
      <c r="I41" s="4" t="s">
        <v>349</v>
      </c>
      <c r="J41" s="4" t="s">
        <v>362</v>
      </c>
      <c r="K41" s="4" t="s">
        <v>363</v>
      </c>
      <c r="L41" s="4" t="s">
        <v>242</v>
      </c>
    </row>
  </sheetData>
  <dataValidations count="1">
    <dataValidation type="list" allowBlank="1" sqref="K2:K200" xr:uid="{00000000-0002-0000-0200-000000000000}">
      <formula1>"Pending,In Progress,Approved,Live"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zoomScaleSheetLayoutView="100" workbookViewId="0">
      <selection activeCell="E4" sqref="E4"/>
    </sheetView>
  </sheetViews>
  <sheetFormatPr defaultRowHeight="15"/>
  <cols>
    <col min="1" max="1" width="18" customWidth="1"/>
    <col min="2" max="2" width="108" customWidth="1"/>
    <col min="3" max="3" width="16.42578125" customWidth="1"/>
    <col min="4" max="4" width="17.28515625" customWidth="1"/>
    <col min="5" max="5" width="17" customWidth="1"/>
  </cols>
  <sheetData>
    <row r="1" spans="1:5">
      <c r="A1" s="1" t="s">
        <v>430</v>
      </c>
      <c r="B1" s="1" t="s">
        <v>431</v>
      </c>
      <c r="C1" s="1" t="s">
        <v>432</v>
      </c>
      <c r="D1" s="1" t="s">
        <v>358</v>
      </c>
      <c r="E1" s="1" t="s">
        <v>30</v>
      </c>
    </row>
    <row r="2" spans="1:5">
      <c r="A2" t="s">
        <v>433</v>
      </c>
      <c r="B2" t="s">
        <v>434</v>
      </c>
      <c r="C2" t="s">
        <v>435</v>
      </c>
      <c r="D2" t="s">
        <v>265</v>
      </c>
    </row>
    <row r="3" spans="1:5">
      <c r="A3" t="s">
        <v>436</v>
      </c>
      <c r="B3" t="s">
        <v>437</v>
      </c>
      <c r="C3" t="s">
        <v>435</v>
      </c>
      <c r="D3" t="s">
        <v>265</v>
      </c>
    </row>
    <row r="4" spans="1:5">
      <c r="A4" t="s">
        <v>438</v>
      </c>
      <c r="B4" t="s">
        <v>439</v>
      </c>
      <c r="C4" t="s">
        <v>435</v>
      </c>
      <c r="D4" t="s">
        <v>265</v>
      </c>
    </row>
    <row r="5" spans="1:5">
      <c r="A5" t="s">
        <v>440</v>
      </c>
      <c r="B5" t="s">
        <v>441</v>
      </c>
      <c r="C5" t="s">
        <v>435</v>
      </c>
      <c r="D5" t="s">
        <v>265</v>
      </c>
    </row>
    <row r="6" spans="1:5">
      <c r="A6" t="s">
        <v>442</v>
      </c>
      <c r="B6" t="s">
        <v>443</v>
      </c>
      <c r="C6" t="s">
        <v>435</v>
      </c>
      <c r="D6" t="s">
        <v>265</v>
      </c>
    </row>
    <row r="7" spans="1:5">
      <c r="A7" t="s">
        <v>444</v>
      </c>
      <c r="B7" t="s">
        <v>445</v>
      </c>
      <c r="C7" t="s">
        <v>435</v>
      </c>
      <c r="D7" t="s">
        <v>265</v>
      </c>
    </row>
    <row r="8" spans="1:5">
      <c r="A8" t="s">
        <v>446</v>
      </c>
      <c r="B8" t="s">
        <v>447</v>
      </c>
      <c r="C8" t="s">
        <v>435</v>
      </c>
      <c r="D8" t="s">
        <v>265</v>
      </c>
    </row>
    <row r="9" spans="1:5">
      <c r="A9" t="s">
        <v>448</v>
      </c>
      <c r="B9" t="s">
        <v>449</v>
      </c>
      <c r="C9" t="s">
        <v>435</v>
      </c>
      <c r="D9" t="s">
        <v>265</v>
      </c>
    </row>
    <row r="10" spans="1:5">
      <c r="A10" t="s">
        <v>450</v>
      </c>
      <c r="B10" t="s">
        <v>451</v>
      </c>
      <c r="C10" t="s">
        <v>435</v>
      </c>
      <c r="D10" t="s">
        <v>265</v>
      </c>
    </row>
    <row r="11" spans="1:5">
      <c r="A11" t="s">
        <v>452</v>
      </c>
      <c r="B11" t="s">
        <v>453</v>
      </c>
      <c r="C11" t="s">
        <v>435</v>
      </c>
      <c r="D11" t="s">
        <v>265</v>
      </c>
    </row>
    <row r="12" spans="1:5">
      <c r="A12" t="s">
        <v>454</v>
      </c>
      <c r="B12" t="s">
        <v>455</v>
      </c>
      <c r="C12" t="s">
        <v>435</v>
      </c>
      <c r="D12" t="s">
        <v>265</v>
      </c>
    </row>
    <row r="13" spans="1:5">
      <c r="A13" t="s">
        <v>456</v>
      </c>
      <c r="B13" t="s">
        <v>457</v>
      </c>
      <c r="C13" t="s">
        <v>435</v>
      </c>
      <c r="D13" t="s">
        <v>265</v>
      </c>
    </row>
    <row r="14" spans="1:5">
      <c r="A14" t="s">
        <v>458</v>
      </c>
      <c r="B14" t="s">
        <v>459</v>
      </c>
      <c r="C14" t="s">
        <v>435</v>
      </c>
      <c r="D14" t="s">
        <v>265</v>
      </c>
    </row>
    <row r="15" spans="1:5">
      <c r="A15" t="s">
        <v>460</v>
      </c>
      <c r="B15" t="s">
        <v>461</v>
      </c>
      <c r="C15" t="s">
        <v>462</v>
      </c>
      <c r="D15" t="s">
        <v>265</v>
      </c>
    </row>
    <row r="16" spans="1:5">
      <c r="A16" t="s">
        <v>463</v>
      </c>
      <c r="B16" t="s">
        <v>464</v>
      </c>
      <c r="C16" t="s">
        <v>435</v>
      </c>
      <c r="D16" t="s">
        <v>265</v>
      </c>
    </row>
  </sheetData>
  <dataValidations count="2">
    <dataValidation type="list" allowBlank="1" sqref="C2:C200" xr:uid="{00000000-0002-0000-0500-000000000000}">
      <formula1>"High,Medium,Low"</formula1>
    </dataValidation>
    <dataValidation type="list" allowBlank="1" sqref="D2:D200" xr:uid="{00000000-0002-0000-0500-000001000000}">
      <formula1>"Pending,In Progress,Done"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2026-09-05T10:46:47Z</dcterms:created>
  <dcterms:modified xsi:type="dcterms:W3CDTF">2026-09-14T12:03:49Z</dcterms:modified>
  <cp:category/>
  <cp:contentStatus/>
</cp:coreProperties>
</file>